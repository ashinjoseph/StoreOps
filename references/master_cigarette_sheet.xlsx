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Cigarette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<sst xmlns="http://schemas.openxmlformats.org/spreadsheetml/2006/main" count="386" uniqueCount="115">
  <si>
    <t xml:space="preserve">SCARBRO MART — MASTER CIGARETTE PRICING SHEET</t>
  </si>
  <si>
    <t xml:space="preserve">Cost = net landed price per carton from RBH/JTI invoices (incl. tobacco tax). Blue cells are inputs you can change; sell price, markup &amp; profit auto-calculate.</t>
  </si>
  <si>
    <t xml:space="preserve">Supplier</t>
  </si>
  <si>
    <t xml:space="preserve">Product</t>
  </si>
  <si>
    <t xml:space="preserve">Category</t>
  </si>
  <si>
    <t xml:space="preserve">Pack Size</t>
  </si>
  <si>
    <t xml:space="preserve">Cost / Carton</t>
  </si>
  <si>
    <t xml:space="preserve">Packs / Carton</t>
  </si>
  <si>
    <t xml:space="preserve">Cost / Pack</t>
  </si>
  <si>
    <t xml:space="preserve">Margin %</t>
  </si>
  <si>
    <t xml:space="preserve">Sell / Pack</t>
  </si>
  <si>
    <t xml:space="preserve">Markup %</t>
  </si>
  <si>
    <t xml:space="preserve">Profit / Pack</t>
  </si>
  <si>
    <t xml:space="preserve">Review (sold?)</t>
  </si>
  <si>
    <t xml:space="preserve">CIGARETTES</t>
  </si>
  <si>
    <t xml:space="preserve">ITC</t>
  </si>
  <si>
    <t xml:space="preserve">John Player Bold KS 10x20</t>
  </si>
  <si>
    <t xml:space="preserve">Cigarettes</t>
  </si>
  <si>
    <t xml:space="preserve">20s</t>
  </si>
  <si>
    <t xml:space="preserve">REVIEW</t>
  </si>
  <si>
    <t xml:space="preserve">John Player Bold KS 8x25</t>
  </si>
  <si>
    <t xml:space="preserve">25s</t>
  </si>
  <si>
    <t xml:space="preserve">John Player Bold RG 10x20</t>
  </si>
  <si>
    <t xml:space="preserve">John Player Bold RG 8x25</t>
  </si>
  <si>
    <t xml:space="preserve">John Player Smooth KS 10x20</t>
  </si>
  <si>
    <t xml:space="preserve">John Player Smooth KS 8x25</t>
  </si>
  <si>
    <t xml:space="preserve">John Player Smooth RG 10x20</t>
  </si>
  <si>
    <t xml:space="preserve">John Player Smooth RG 8x25</t>
  </si>
  <si>
    <t xml:space="preserve">Marlboro KS 10x20</t>
  </si>
  <si>
    <t xml:space="preserve">Marlboro KS 8x25</t>
  </si>
  <si>
    <t xml:space="preserve">Marlboro Smooth KS 10x20</t>
  </si>
  <si>
    <t xml:space="preserve">Marlboro Smooth KS 8x25</t>
  </si>
  <si>
    <t xml:space="preserve">Match K20</t>
  </si>
  <si>
    <t xml:space="preserve">Match K25</t>
  </si>
  <si>
    <t xml:space="preserve">Matinee Chic K20</t>
  </si>
  <si>
    <t xml:space="preserve">Matinee Chic K25</t>
  </si>
  <si>
    <t xml:space="preserve">Pall Mall Bold Extra KS 10x20</t>
  </si>
  <si>
    <t xml:space="preserve">Pall Mall Bold Extra KS 8x25</t>
  </si>
  <si>
    <t xml:space="preserve">Pall Mall Bold KS 10x20</t>
  </si>
  <si>
    <t xml:space="preserve">Pall Mall Bold KS 8x25</t>
  </si>
  <si>
    <t xml:space="preserve">Pall Mall Bold RG 10x20</t>
  </si>
  <si>
    <t xml:space="preserve">Pall Mall Bold RG 8x25</t>
  </si>
  <si>
    <t xml:space="preserve">Pall Mall Full KS 10x20</t>
  </si>
  <si>
    <t xml:space="preserve">Pall Mall Full KS 8x25</t>
  </si>
  <si>
    <t xml:space="preserve">Pall Mall Full RG 10x20</t>
  </si>
  <si>
    <t xml:space="preserve">Pall Mall Full RG 8x25</t>
  </si>
  <si>
    <t xml:space="preserve">Pall Mall Smooth Extra KS 10x20</t>
  </si>
  <si>
    <t xml:space="preserve">Pall Mall Smooth Extra KS 8x25</t>
  </si>
  <si>
    <t xml:space="preserve">Pall Mall Smooth KS 10x20</t>
  </si>
  <si>
    <t xml:space="preserve">Pall Mall Smooth KS 8x25</t>
  </si>
  <si>
    <t xml:space="preserve">Pall Mall Smooth RG 10x20</t>
  </si>
  <si>
    <t xml:space="preserve">Pall Mall Smooth RG 8x25</t>
  </si>
  <si>
    <t xml:space="preserve">Player's Original RG 10x20</t>
  </si>
  <si>
    <t xml:space="preserve">Player's Original RG 8x25</t>
  </si>
  <si>
    <t xml:space="preserve">du Maurier Distinct Plus KS 10x20</t>
  </si>
  <si>
    <t xml:space="preserve">du Maurier Distinct Plus KS 8x25</t>
  </si>
  <si>
    <t xml:space="preserve">du Maurier Distinct RG 10x20</t>
  </si>
  <si>
    <t xml:space="preserve">du Maurier Distinct RG 8x25</t>
  </si>
  <si>
    <t xml:space="preserve">du Maurier Signature KS 10x20</t>
  </si>
  <si>
    <t xml:space="preserve">du Maurier Signature KS 8x25</t>
  </si>
  <si>
    <t xml:space="preserve">du Maurier Signature RG 10x20</t>
  </si>
  <si>
    <t xml:space="preserve">du Maurier Signature RG 8x25</t>
  </si>
  <si>
    <t xml:space="preserve">du Maurier Smooth KS 10x20</t>
  </si>
  <si>
    <t xml:space="preserve">du Maurier Smooth KS 8x25</t>
  </si>
  <si>
    <t xml:space="preserve">du Maurier Smooth RG 10x20</t>
  </si>
  <si>
    <t xml:space="preserve">du Maurier Smooth RG 8x25</t>
  </si>
  <si>
    <t xml:space="preserve">JTI</t>
  </si>
  <si>
    <t xml:space="preserve">Camel Original KS20</t>
  </si>
  <si>
    <t xml:space="preserve">Camel Original KS25</t>
  </si>
  <si>
    <t xml:space="preserve">Export A Fine KS25</t>
  </si>
  <si>
    <t xml:space="preserve">Export A Fine RG25</t>
  </si>
  <si>
    <t xml:space="preserve">LD Smooth KS20</t>
  </si>
  <si>
    <t xml:space="preserve">LD Std Bold KS20</t>
  </si>
  <si>
    <t xml:space="preserve">LD Std Bold KS25</t>
  </si>
  <si>
    <t xml:space="preserve">Macdonald Original KS20</t>
  </si>
  <si>
    <t xml:space="preserve">Macdonald Original KS25</t>
  </si>
  <si>
    <t xml:space="preserve">RBH</t>
  </si>
  <si>
    <t xml:space="preserve">B&amp;H Deluxe KS 20 S&amp;S</t>
  </si>
  <si>
    <t xml:space="preserve">Belmont KS S&amp;S 20</t>
  </si>
  <si>
    <t xml:space="preserve">Belmont KS S&amp;S 25</t>
  </si>
  <si>
    <t xml:space="preserve">Belmont RS 20</t>
  </si>
  <si>
    <t xml:space="preserve">Belmont Select KS 20 S&amp;S</t>
  </si>
  <si>
    <t xml:space="preserve">Belmont Select KS S&amp;S 25</t>
  </si>
  <si>
    <t xml:space="preserve">Belmont Select RS 20</t>
  </si>
  <si>
    <t xml:space="preserve">Belmont Select RS S&amp;S 25</t>
  </si>
  <si>
    <t xml:space="preserve">Benson and Hedges KS 25</t>
  </si>
  <si>
    <t xml:space="preserve">Next KS 20</t>
  </si>
  <si>
    <t xml:space="preserve">Next KS 25</t>
  </si>
  <si>
    <t xml:space="preserve">Next P M Original KS S&amp;S 20</t>
  </si>
  <si>
    <t xml:space="preserve">Next P M Special KS S&amp;S 20</t>
  </si>
  <si>
    <t xml:space="preserve">Next RS 25</t>
  </si>
  <si>
    <t xml:space="preserve">Next Smooth KS 25</t>
  </si>
  <si>
    <t xml:space="preserve">Next Xtra KS 20</t>
  </si>
  <si>
    <t xml:space="preserve">Next Xtra KS 25</t>
  </si>
  <si>
    <t xml:space="preserve">FINE CUT / RYO</t>
  </si>
  <si>
    <t xml:space="preserve">Drum Premier Blue 50g</t>
  </si>
  <si>
    <t xml:space="preserve">Fine Cut / RYO</t>
  </si>
  <si>
    <t xml:space="preserve">—</t>
  </si>
  <si>
    <t xml:space="preserve">RYO Drum Original Pouch 50g</t>
  </si>
  <si>
    <t xml:space="preserve">RYO Fine Cut (6912) 50g</t>
  </si>
  <si>
    <t xml:space="preserve">CIGARS</t>
  </si>
  <si>
    <t xml:space="preserve">Backwoods Port (8pk)</t>
  </si>
  <si>
    <t xml:space="preserve">Cigars</t>
  </si>
  <si>
    <t xml:space="preserve">Backwoods Rum (8pk)</t>
  </si>
  <si>
    <t xml:space="preserve">Backwoods Whisky (8pk)</t>
  </si>
  <si>
    <t xml:space="preserve">Cigrill Sail Classic 100 (8 fat)</t>
  </si>
  <si>
    <t xml:space="preserve">VAPE</t>
  </si>
  <si>
    <t xml:space="preserve">VEEV Now Spearmint 1.8% 18ml</t>
  </si>
  <si>
    <t xml:space="preserve">Vape</t>
  </si>
  <si>
    <t xml:space="preserve">NOTES</t>
  </si>
  <si>
    <t xml:space="preserve">• YELLOW ROWS = Imperial Tobacco (ITC) catalogue items ordered at Qty 1 — review each and confirm whether it actually sold before finalizing its price. Mark the Review column.</t>
  </si>
  <si>
    <t xml:space="preserve">• Cost/Carton is the invoice NET unit price (after trade margin, T&amp;C and APEX/price adjustments) — already includes provincial tobacco tax.</t>
  </si>
  <si>
    <t xml:space="preserve">• Cigarette cartons = 200 sticks: KS20 packs = 10/carton, KS25 packs = 8/carton. Verify against your physical stock and adjust Packs/Carton if needed.</t>
  </si>
  <si>
    <t xml:space="preserve">• Default margins are starting points (Cigs 10%, Fine Cut 12%, Cigars 15%, Vape 20%). ON minimum retail pricing rules may apply — set your own floor.</t>
  </si>
  <si>
    <t xml:space="preserve">• Sell/Pack = Cost-per-pack / (1 - Margin). Change any blue cell and the row recalculates.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</si>
</sst>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C1714"/>
      <name val="Arial"/>
      <family val="0"/>
      <charset val="1"/>
    </font>
    <font>
      <i val="true"/>
      <sz val="9"/>
      <color rgb="FF6B5E5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9A5E0F"/>
      <name val="Arial"/>
      <family val="0"/>
      <charset val="1"/>
    </font>
    <font>
      <b val="true"/>
      <sz val="11"/>
      <color rgb="FF1C1714"/>
      <name val="Arial"/>
      <family val="0"/>
      <charset val="1"/>
    </font>
    <font>
      <sz val="9"/>
      <color rgb="FF4A403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B2620"/>
        <bgColor rgb="FF1C1714"/>
      </patternFill>
    </fill>
    <fill>
      <patternFill patternType="solid">
        <fgColor rgb="FFC8821E"/>
        <bgColor rgb="FF9A5E0F"/>
      </patternFill>
    </fill>
    <fill>
      <patternFill patternType="solid">
        <fgColor rgb="FFFFF3C4"/>
        <bgColor rgb="FFF1E9DB"/>
      </patternFill>
    </fill>
    <fill>
      <patternFill patternType="solid">
        <fgColor rgb="FFF1E9DB"/>
        <bgColor rgb="FFFFF3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CB8"/>
      </left>
      <right style="thin">
        <color rgb="FFD9CCB8"/>
      </right>
      <top style="thin">
        <color rgb="FFD9CCB8"/>
      </top>
      <bottom style="thin">
        <color rgb="FFD9CC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5E0F"/>
      <rgbColor rgb="FF800080"/>
      <rgbColor rgb="FF008080"/>
      <rgbColor rgb="FFD9CCB8"/>
      <rgbColor rgb="FF808080"/>
      <rgbColor rgb="FF9999FF"/>
      <rgbColor rgb="FF993366"/>
      <rgbColor rgb="FFFFF3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1E9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821E"/>
      <rgbColor rgb="FFFF6600"/>
      <rgbColor rgb="FF6B5E50"/>
      <rgbColor rgb="FF969696"/>
      <rgbColor rgb="FF003366"/>
      <rgbColor rgb="FF339966"/>
      <rgbColor rgb="FF1C1714"/>
      <rgbColor rgb="FF4A4036"/>
      <rgbColor rgb="FF993300"/>
      <rgbColor rgb="FF993366"/>
      <rgbColor rgb="FF333399"/>
      <rgbColor rgb="FF2B26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8" hidden="false" customHeight="true" outlineLevel="0" collapsed="false">
      <c r="A5" s="4" t="s">
        <v>14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5" t="s">
        <v>15</v>
      </c>
      <c r="B6" s="6" t="s">
        <v>16</v>
      </c>
      <c r="C6" s="6" t="s">
        <v>17</v>
      </c>
      <c r="D6" s="5" t="s">
        <v>18</v>
      </c>
      <c r="E6" s="7" t="n">
        <v>150.73</v>
      </c>
      <c r="F6" s="8" t="n">
        <v>10</v>
      </c>
      <c r="G6" s="9" t="n">
        <f aca="false">E6/F6</f>
        <v>15.073</v>
      </c>
      <c r="H6" s="10" t="n">
        <v>0.1</v>
      </c>
      <c r="I6" s="11" t="n">
        <f aca="false">E6/F6/(1-H6)</f>
        <v>16.7477777777778</v>
      </c>
      <c r="J6" s="12" t="n">
        <f aca="false">(I6-G6)/G6</f>
        <v>0.111111111111111</v>
      </c>
      <c r="K6" s="9" t="n">
        <f aca="false">I6-G6</f>
        <v>1.67477777777778</v>
      </c>
      <c r="L6" s="13" t="s">
        <v>19</v>
      </c>
    </row>
    <row r="7" customFormat="false" ht="15" hidden="false" customHeight="false" outlineLevel="0" collapsed="false">
      <c r="A7" s="5" t="s">
        <v>15</v>
      </c>
      <c r="B7" s="6" t="s">
        <v>20</v>
      </c>
      <c r="C7" s="6" t="s">
        <v>17</v>
      </c>
      <c r="D7" s="5" t="s">
        <v>21</v>
      </c>
      <c r="E7" s="7" t="n">
        <v>150.73</v>
      </c>
      <c r="F7" s="8" t="n">
        <v>8</v>
      </c>
      <c r="G7" s="9" t="n">
        <f aca="false">E7/F7</f>
        <v>18.84125</v>
      </c>
      <c r="H7" s="10" t="n">
        <v>0.1</v>
      </c>
      <c r="I7" s="11" t="n">
        <f aca="false">E7/F7/(1-H7)</f>
        <v>20.9347222222222</v>
      </c>
      <c r="J7" s="12" t="n">
        <f aca="false">(I7-G7)/G7</f>
        <v>0.111111111111111</v>
      </c>
      <c r="K7" s="9" t="n">
        <f aca="false">I7-G7</f>
        <v>2.09347222222222</v>
      </c>
      <c r="L7" s="13" t="s">
        <v>19</v>
      </c>
    </row>
    <row r="8" customFormat="false" ht="15" hidden="false" customHeight="false" outlineLevel="0" collapsed="false">
      <c r="A8" s="5" t="s">
        <v>15</v>
      </c>
      <c r="B8" s="6" t="s">
        <v>22</v>
      </c>
      <c r="C8" s="6" t="s">
        <v>17</v>
      </c>
      <c r="D8" s="5" t="s">
        <v>18</v>
      </c>
      <c r="E8" s="7" t="n">
        <v>150.73</v>
      </c>
      <c r="F8" s="8" t="n">
        <v>10</v>
      </c>
      <c r="G8" s="9" t="n">
        <f aca="false">E8/F8</f>
        <v>15.073</v>
      </c>
      <c r="H8" s="10" t="n">
        <v>0.1</v>
      </c>
      <c r="I8" s="11" t="n">
        <f aca="false">E8/F8/(1-H8)</f>
        <v>16.7477777777778</v>
      </c>
      <c r="J8" s="12" t="n">
        <f aca="false">(I8-G8)/G8</f>
        <v>0.111111111111111</v>
      </c>
      <c r="K8" s="9" t="n">
        <f aca="false">I8-G8</f>
        <v>1.67477777777778</v>
      </c>
      <c r="L8" s="13" t="s">
        <v>19</v>
      </c>
    </row>
    <row r="9" customFormat="false" ht="15" hidden="false" customHeight="false" outlineLevel="0" collapsed="false">
      <c r="A9" s="5" t="s">
        <v>15</v>
      </c>
      <c r="B9" s="6" t="s">
        <v>23</v>
      </c>
      <c r="C9" s="6" t="s">
        <v>17</v>
      </c>
      <c r="D9" s="5" t="s">
        <v>21</v>
      </c>
      <c r="E9" s="7" t="n">
        <v>150.73</v>
      </c>
      <c r="F9" s="8" t="n">
        <v>8</v>
      </c>
      <c r="G9" s="9" t="n">
        <f aca="false">E9/F9</f>
        <v>18.84125</v>
      </c>
      <c r="H9" s="10" t="n">
        <v>0.1</v>
      </c>
      <c r="I9" s="11" t="n">
        <f aca="false">E9/F9/(1-H9)</f>
        <v>20.9347222222222</v>
      </c>
      <c r="J9" s="12" t="n">
        <f aca="false">(I9-G9)/G9</f>
        <v>0.111111111111111</v>
      </c>
      <c r="K9" s="9" t="n">
        <f aca="false">I9-G9</f>
        <v>2.09347222222222</v>
      </c>
      <c r="L9" s="13" t="s">
        <v>19</v>
      </c>
    </row>
    <row r="10" customFormat="false" ht="15" hidden="false" customHeight="false" outlineLevel="0" collapsed="false">
      <c r="A10" s="5" t="s">
        <v>15</v>
      </c>
      <c r="B10" s="6" t="s">
        <v>24</v>
      </c>
      <c r="C10" s="6" t="s">
        <v>17</v>
      </c>
      <c r="D10" s="5" t="s">
        <v>18</v>
      </c>
      <c r="E10" s="7" t="n">
        <v>150.73</v>
      </c>
      <c r="F10" s="8" t="n">
        <v>10</v>
      </c>
      <c r="G10" s="9" t="n">
        <f aca="false">E10/F10</f>
        <v>15.073</v>
      </c>
      <c r="H10" s="10" t="n">
        <v>0.1</v>
      </c>
      <c r="I10" s="11" t="n">
        <f aca="false">E10/F10/(1-H10)</f>
        <v>16.7477777777778</v>
      </c>
      <c r="J10" s="12" t="n">
        <f aca="false">(I10-G10)/G10</f>
        <v>0.111111111111111</v>
      </c>
      <c r="K10" s="9" t="n">
        <f aca="false">I10-G10</f>
        <v>1.67477777777778</v>
      </c>
      <c r="L10" s="13" t="s">
        <v>19</v>
      </c>
    </row>
    <row r="11" customFormat="false" ht="15" hidden="false" customHeight="false" outlineLevel="0" collapsed="false">
      <c r="A11" s="5" t="s">
        <v>15</v>
      </c>
      <c r="B11" s="6" t="s">
        <v>25</v>
      </c>
      <c r="C11" s="6" t="s">
        <v>17</v>
      </c>
      <c r="D11" s="5" t="s">
        <v>21</v>
      </c>
      <c r="E11" s="7" t="n">
        <v>150.73</v>
      </c>
      <c r="F11" s="8" t="n">
        <v>8</v>
      </c>
      <c r="G11" s="9" t="n">
        <f aca="false">E11/F11</f>
        <v>18.84125</v>
      </c>
      <c r="H11" s="10" t="n">
        <v>0.1</v>
      </c>
      <c r="I11" s="11" t="n">
        <f aca="false">E11/F11/(1-H11)</f>
        <v>20.9347222222222</v>
      </c>
      <c r="J11" s="12" t="n">
        <f aca="false">(I11-G11)/G11</f>
        <v>0.111111111111111</v>
      </c>
      <c r="K11" s="9" t="n">
        <f aca="false">I11-G11</f>
        <v>2.09347222222222</v>
      </c>
      <c r="L11" s="13" t="s">
        <v>19</v>
      </c>
    </row>
    <row r="12" customFormat="false" ht="15" hidden="false" customHeight="false" outlineLevel="0" collapsed="false">
      <c r="A12" s="5" t="s">
        <v>15</v>
      </c>
      <c r="B12" s="6" t="s">
        <v>26</v>
      </c>
      <c r="C12" s="6" t="s">
        <v>17</v>
      </c>
      <c r="D12" s="5" t="s">
        <v>18</v>
      </c>
      <c r="E12" s="7" t="n">
        <v>150.73</v>
      </c>
      <c r="F12" s="8" t="n">
        <v>10</v>
      </c>
      <c r="G12" s="9" t="n">
        <f aca="false">E12/F12</f>
        <v>15.073</v>
      </c>
      <c r="H12" s="10" t="n">
        <v>0.1</v>
      </c>
      <c r="I12" s="11" t="n">
        <f aca="false">E12/F12/(1-H12)</f>
        <v>16.7477777777778</v>
      </c>
      <c r="J12" s="12" t="n">
        <f aca="false">(I12-G12)/G12</f>
        <v>0.111111111111111</v>
      </c>
      <c r="K12" s="9" t="n">
        <f aca="false">I12-G12</f>
        <v>1.67477777777778</v>
      </c>
      <c r="L12" s="13" t="s">
        <v>19</v>
      </c>
    </row>
    <row r="13" customFormat="false" ht="15" hidden="false" customHeight="false" outlineLevel="0" collapsed="false">
      <c r="A13" s="5" t="s">
        <v>15</v>
      </c>
      <c r="B13" s="6" t="s">
        <v>27</v>
      </c>
      <c r="C13" s="6" t="s">
        <v>17</v>
      </c>
      <c r="D13" s="5" t="s">
        <v>21</v>
      </c>
      <c r="E13" s="7" t="n">
        <v>150.73</v>
      </c>
      <c r="F13" s="8" t="n">
        <v>8</v>
      </c>
      <c r="G13" s="9" t="n">
        <f aca="false">E13/F13</f>
        <v>18.84125</v>
      </c>
      <c r="H13" s="10" t="n">
        <v>0.1</v>
      </c>
      <c r="I13" s="11" t="n">
        <f aca="false">E13/F13/(1-H13)</f>
        <v>20.9347222222222</v>
      </c>
      <c r="J13" s="12" t="n">
        <f aca="false">(I13-G13)/G13</f>
        <v>0.111111111111111</v>
      </c>
      <c r="K13" s="9" t="n">
        <f aca="false">I13-G13</f>
        <v>2.09347222222222</v>
      </c>
      <c r="L13" s="13" t="s">
        <v>19</v>
      </c>
    </row>
    <row r="14" customFormat="false" ht="15" hidden="false" customHeight="false" outlineLevel="0" collapsed="false">
      <c r="A14" s="5" t="s">
        <v>15</v>
      </c>
      <c r="B14" s="6" t="s">
        <v>28</v>
      </c>
      <c r="C14" s="6" t="s">
        <v>17</v>
      </c>
      <c r="D14" s="5" t="s">
        <v>18</v>
      </c>
      <c r="E14" s="7" t="n">
        <v>149.54</v>
      </c>
      <c r="F14" s="8" t="n">
        <v>10</v>
      </c>
      <c r="G14" s="9" t="n">
        <f aca="false">E14/F14</f>
        <v>14.954</v>
      </c>
      <c r="H14" s="10" t="n">
        <v>0.1</v>
      </c>
      <c r="I14" s="11" t="n">
        <f aca="false">E14/F14/(1-H14)</f>
        <v>16.6155555555556</v>
      </c>
      <c r="J14" s="12" t="n">
        <f aca="false">(I14-G14)/G14</f>
        <v>0.111111111111111</v>
      </c>
      <c r="K14" s="9" t="n">
        <f aca="false">I14-G14</f>
        <v>1.66155555555555</v>
      </c>
      <c r="L14" s="13" t="s">
        <v>19</v>
      </c>
    </row>
    <row r="15" customFormat="false" ht="15" hidden="false" customHeight="false" outlineLevel="0" collapsed="false">
      <c r="A15" s="5" t="s">
        <v>15</v>
      </c>
      <c r="B15" s="6" t="s">
        <v>29</v>
      </c>
      <c r="C15" s="6" t="s">
        <v>17</v>
      </c>
      <c r="D15" s="5" t="s">
        <v>21</v>
      </c>
      <c r="E15" s="7" t="n">
        <v>149.54</v>
      </c>
      <c r="F15" s="8" t="n">
        <v>8</v>
      </c>
      <c r="G15" s="9" t="n">
        <f aca="false">E15/F15</f>
        <v>18.6925</v>
      </c>
      <c r="H15" s="10" t="n">
        <v>0.1</v>
      </c>
      <c r="I15" s="11" t="n">
        <f aca="false">E15/F15/(1-H15)</f>
        <v>20.7694444444444</v>
      </c>
      <c r="J15" s="12" t="n">
        <f aca="false">(I15-G15)/G15</f>
        <v>0.111111111111111</v>
      </c>
      <c r="K15" s="9" t="n">
        <f aca="false">I15-G15</f>
        <v>2.07694444444444</v>
      </c>
      <c r="L15" s="13" t="s">
        <v>19</v>
      </c>
    </row>
    <row r="16" customFormat="false" ht="15" hidden="false" customHeight="false" outlineLevel="0" collapsed="false">
      <c r="A16" s="5" t="s">
        <v>15</v>
      </c>
      <c r="B16" s="6" t="s">
        <v>30</v>
      </c>
      <c r="C16" s="6" t="s">
        <v>17</v>
      </c>
      <c r="D16" s="5" t="s">
        <v>18</v>
      </c>
      <c r="E16" s="7" t="n">
        <v>149.54</v>
      </c>
      <c r="F16" s="8" t="n">
        <v>10</v>
      </c>
      <c r="G16" s="9" t="n">
        <f aca="false">E16/F16</f>
        <v>14.954</v>
      </c>
      <c r="H16" s="10" t="n">
        <v>0.1</v>
      </c>
      <c r="I16" s="11" t="n">
        <f aca="false">E16/F16/(1-H16)</f>
        <v>16.6155555555556</v>
      </c>
      <c r="J16" s="12" t="n">
        <f aca="false">(I16-G16)/G16</f>
        <v>0.111111111111111</v>
      </c>
      <c r="K16" s="9" t="n">
        <f aca="false">I16-G16</f>
        <v>1.66155555555555</v>
      </c>
      <c r="L16" s="13" t="s">
        <v>19</v>
      </c>
    </row>
    <row r="17" customFormat="false" ht="15" hidden="false" customHeight="false" outlineLevel="0" collapsed="false">
      <c r="A17" s="5" t="s">
        <v>15</v>
      </c>
      <c r="B17" s="6" t="s">
        <v>31</v>
      </c>
      <c r="C17" s="6" t="s">
        <v>17</v>
      </c>
      <c r="D17" s="5" t="s">
        <v>21</v>
      </c>
      <c r="E17" s="7" t="n">
        <v>149.54</v>
      </c>
      <c r="F17" s="8" t="n">
        <v>8</v>
      </c>
      <c r="G17" s="9" t="n">
        <f aca="false">E17/F17</f>
        <v>18.6925</v>
      </c>
      <c r="H17" s="10" t="n">
        <v>0.1</v>
      </c>
      <c r="I17" s="11" t="n">
        <f aca="false">E17/F17/(1-H17)</f>
        <v>20.7694444444444</v>
      </c>
      <c r="J17" s="12" t="n">
        <f aca="false">(I17-G17)/G17</f>
        <v>0.111111111111111</v>
      </c>
      <c r="K17" s="9" t="n">
        <f aca="false">I17-G17</f>
        <v>2.07694444444444</v>
      </c>
      <c r="L17" s="13" t="s">
        <v>19</v>
      </c>
    </row>
    <row r="18" customFormat="false" ht="15" hidden="false" customHeight="false" outlineLevel="0" collapsed="false">
      <c r="A18" s="14" t="s">
        <v>15</v>
      </c>
      <c r="B18" s="15" t="s">
        <v>32</v>
      </c>
      <c r="C18" s="15" t="s">
        <v>17</v>
      </c>
      <c r="D18" s="14" t="s">
        <v>18</v>
      </c>
      <c r="E18" s="16" t="n">
        <v>84.72</v>
      </c>
      <c r="F18" s="17" t="n">
        <v>10</v>
      </c>
      <c r="G18" s="18" t="n">
        <f aca="false">E18/F18</f>
        <v>8.472</v>
      </c>
      <c r="H18" s="19" t="n">
        <v>0.1</v>
      </c>
      <c r="I18" s="20" t="n">
        <f aca="false">E18/F18/(1-H18)</f>
        <v>9.41333333333333</v>
      </c>
      <c r="J18" s="21" t="n">
        <f aca="false">(I18-G18)/G18</f>
        <v>0.111111111111111</v>
      </c>
      <c r="K18" s="18" t="n">
        <f aca="false">I18-G18</f>
        <v>0.941333333333333</v>
      </c>
      <c r="L18" s="22"/>
    </row>
    <row r="19" customFormat="false" ht="15" hidden="false" customHeight="false" outlineLevel="0" collapsed="false">
      <c r="A19" s="23" t="s">
        <v>15</v>
      </c>
      <c r="B19" s="24" t="s">
        <v>33</v>
      </c>
      <c r="C19" s="24" t="s">
        <v>17</v>
      </c>
      <c r="D19" s="23" t="s">
        <v>21</v>
      </c>
      <c r="E19" s="25" t="n">
        <v>84.72</v>
      </c>
      <c r="F19" s="26" t="n">
        <v>8</v>
      </c>
      <c r="G19" s="27" t="n">
        <f aca="false">E19/F19</f>
        <v>10.59</v>
      </c>
      <c r="H19" s="28" t="n">
        <v>0.1</v>
      </c>
      <c r="I19" s="29" t="n">
        <f aca="false">E19/F19/(1-H19)</f>
        <v>11.7666666666667</v>
      </c>
      <c r="J19" s="30" t="n">
        <f aca="false">(I19-G19)/G19</f>
        <v>0.111111111111111</v>
      </c>
      <c r="K19" s="27" t="n">
        <f aca="false">I19-G19</f>
        <v>1.17666666666667</v>
      </c>
      <c r="L19" s="22"/>
    </row>
    <row r="20" customFormat="false" ht="15" hidden="false" customHeight="false" outlineLevel="0" collapsed="false">
      <c r="A20" s="14" t="s">
        <v>15</v>
      </c>
      <c r="B20" s="15" t="s">
        <v>34</v>
      </c>
      <c r="C20" s="15" t="s">
        <v>17</v>
      </c>
      <c r="D20" s="14" t="s">
        <v>18</v>
      </c>
      <c r="E20" s="16" t="n">
        <v>84.72</v>
      </c>
      <c r="F20" s="17" t="n">
        <v>10</v>
      </c>
      <c r="G20" s="18" t="n">
        <f aca="false">E20/F20</f>
        <v>8.472</v>
      </c>
      <c r="H20" s="19" t="n">
        <v>0.1</v>
      </c>
      <c r="I20" s="20" t="n">
        <f aca="false">E20/F20/(1-H20)</f>
        <v>9.41333333333333</v>
      </c>
      <c r="J20" s="21" t="n">
        <f aca="false">(I20-G20)/G20</f>
        <v>0.111111111111111</v>
      </c>
      <c r="K20" s="18" t="n">
        <f aca="false">I20-G20</f>
        <v>0.941333333333333</v>
      </c>
      <c r="L20" s="22"/>
    </row>
    <row r="21" customFormat="false" ht="15" hidden="false" customHeight="false" outlineLevel="0" collapsed="false">
      <c r="A21" s="23" t="s">
        <v>15</v>
      </c>
      <c r="B21" s="24" t="s">
        <v>35</v>
      </c>
      <c r="C21" s="24" t="s">
        <v>17</v>
      </c>
      <c r="D21" s="23" t="s">
        <v>21</v>
      </c>
      <c r="E21" s="25" t="n">
        <v>84.72</v>
      </c>
      <c r="F21" s="26" t="n">
        <v>8</v>
      </c>
      <c r="G21" s="27" t="n">
        <f aca="false">E21/F21</f>
        <v>10.59</v>
      </c>
      <c r="H21" s="28" t="n">
        <v>0.1</v>
      </c>
      <c r="I21" s="29" t="n">
        <f aca="false">E21/F21/(1-H21)</f>
        <v>11.7666666666667</v>
      </c>
      <c r="J21" s="30" t="n">
        <f aca="false">(I21-G21)/G21</f>
        <v>0.111111111111111</v>
      </c>
      <c r="K21" s="27" t="n">
        <f aca="false">I21-G21</f>
        <v>1.17666666666667</v>
      </c>
      <c r="L21" s="22"/>
    </row>
    <row r="22" customFormat="false" ht="15" hidden="false" customHeight="false" outlineLevel="0" collapsed="false">
      <c r="A22" s="5" t="s">
        <v>15</v>
      </c>
      <c r="B22" s="6" t="s">
        <v>36</v>
      </c>
      <c r="C22" s="6" t="s">
        <v>17</v>
      </c>
      <c r="D22" s="5" t="s">
        <v>18</v>
      </c>
      <c r="E22" s="7" t="n">
        <v>117.72</v>
      </c>
      <c r="F22" s="8" t="n">
        <v>10</v>
      </c>
      <c r="G22" s="9" t="n">
        <f aca="false">E22/F22</f>
        <v>11.772</v>
      </c>
      <c r="H22" s="10" t="n">
        <v>0.1</v>
      </c>
      <c r="I22" s="11" t="n">
        <f aca="false">E22/F22/(1-H22)</f>
        <v>13.08</v>
      </c>
      <c r="J22" s="12" t="n">
        <f aca="false">(I22-G22)/G22</f>
        <v>0.111111111111111</v>
      </c>
      <c r="K22" s="9" t="n">
        <f aca="false">I22-G22</f>
        <v>1.308</v>
      </c>
      <c r="L22" s="13" t="s">
        <v>19</v>
      </c>
    </row>
    <row r="23" customFormat="false" ht="15" hidden="false" customHeight="false" outlineLevel="0" collapsed="false">
      <c r="A23" s="5" t="s">
        <v>15</v>
      </c>
      <c r="B23" s="6" t="s">
        <v>37</v>
      </c>
      <c r="C23" s="6" t="s">
        <v>17</v>
      </c>
      <c r="D23" s="5" t="s">
        <v>21</v>
      </c>
      <c r="E23" s="7" t="n">
        <v>117.72</v>
      </c>
      <c r="F23" s="8" t="n">
        <v>8</v>
      </c>
      <c r="G23" s="9" t="n">
        <f aca="false">E23/F23</f>
        <v>14.715</v>
      </c>
      <c r="H23" s="10" t="n">
        <v>0.1</v>
      </c>
      <c r="I23" s="11" t="n">
        <f aca="false">E23/F23/(1-H23)</f>
        <v>16.35</v>
      </c>
      <c r="J23" s="12" t="n">
        <f aca="false">(I23-G23)/G23</f>
        <v>0.111111111111111</v>
      </c>
      <c r="K23" s="9" t="n">
        <f aca="false">I23-G23</f>
        <v>1.635</v>
      </c>
      <c r="L23" s="13" t="s">
        <v>19</v>
      </c>
    </row>
    <row r="24" customFormat="false" ht="15" hidden="false" customHeight="false" outlineLevel="0" collapsed="false">
      <c r="A24" s="5" t="s">
        <v>15</v>
      </c>
      <c r="B24" s="6" t="s">
        <v>38</v>
      </c>
      <c r="C24" s="6" t="s">
        <v>17</v>
      </c>
      <c r="D24" s="5" t="s">
        <v>18</v>
      </c>
      <c r="E24" s="7" t="n">
        <v>117.72</v>
      </c>
      <c r="F24" s="8" t="n">
        <v>10</v>
      </c>
      <c r="G24" s="9" t="n">
        <f aca="false">E24/F24</f>
        <v>11.772</v>
      </c>
      <c r="H24" s="10" t="n">
        <v>0.1</v>
      </c>
      <c r="I24" s="11" t="n">
        <f aca="false">E24/F24/(1-H24)</f>
        <v>13.08</v>
      </c>
      <c r="J24" s="12" t="n">
        <f aca="false">(I24-G24)/G24</f>
        <v>0.111111111111111</v>
      </c>
      <c r="K24" s="9" t="n">
        <f aca="false">I24-G24</f>
        <v>1.308</v>
      </c>
      <c r="L24" s="13" t="s">
        <v>19</v>
      </c>
    </row>
    <row r="25" customFormat="false" ht="15" hidden="false" customHeight="false" outlineLevel="0" collapsed="false">
      <c r="A25" s="5" t="s">
        <v>15</v>
      </c>
      <c r="B25" s="6" t="s">
        <v>39</v>
      </c>
      <c r="C25" s="6" t="s">
        <v>17</v>
      </c>
      <c r="D25" s="5" t="s">
        <v>21</v>
      </c>
      <c r="E25" s="7" t="n">
        <v>117.72</v>
      </c>
      <c r="F25" s="8" t="n">
        <v>8</v>
      </c>
      <c r="G25" s="9" t="n">
        <f aca="false">E25/F25</f>
        <v>14.715</v>
      </c>
      <c r="H25" s="10" t="n">
        <v>0.1</v>
      </c>
      <c r="I25" s="11" t="n">
        <f aca="false">E25/F25/(1-H25)</f>
        <v>16.35</v>
      </c>
      <c r="J25" s="12" t="n">
        <f aca="false">(I25-G25)/G25</f>
        <v>0.111111111111111</v>
      </c>
      <c r="K25" s="9" t="n">
        <f aca="false">I25-G25</f>
        <v>1.635</v>
      </c>
      <c r="L25" s="13" t="s">
        <v>19</v>
      </c>
    </row>
    <row r="26" customFormat="false" ht="15" hidden="false" customHeight="false" outlineLevel="0" collapsed="false">
      <c r="A26" s="5" t="s">
        <v>15</v>
      </c>
      <c r="B26" s="6" t="s">
        <v>40</v>
      </c>
      <c r="C26" s="6" t="s">
        <v>17</v>
      </c>
      <c r="D26" s="5" t="s">
        <v>18</v>
      </c>
      <c r="E26" s="7" t="n">
        <v>117.72</v>
      </c>
      <c r="F26" s="8" t="n">
        <v>10</v>
      </c>
      <c r="G26" s="9" t="n">
        <f aca="false">E26/F26</f>
        <v>11.772</v>
      </c>
      <c r="H26" s="10" t="n">
        <v>0.1</v>
      </c>
      <c r="I26" s="11" t="n">
        <f aca="false">E26/F26/(1-H26)</f>
        <v>13.08</v>
      </c>
      <c r="J26" s="12" t="n">
        <f aca="false">(I26-G26)/G26</f>
        <v>0.111111111111111</v>
      </c>
      <c r="K26" s="9" t="n">
        <f aca="false">I26-G26</f>
        <v>1.308</v>
      </c>
      <c r="L26" s="13" t="s">
        <v>19</v>
      </c>
    </row>
    <row r="27" customFormat="false" ht="15" hidden="false" customHeight="false" outlineLevel="0" collapsed="false">
      <c r="A27" s="5" t="s">
        <v>15</v>
      </c>
      <c r="B27" s="6" t="s">
        <v>41</v>
      </c>
      <c r="C27" s="6" t="s">
        <v>17</v>
      </c>
      <c r="D27" s="5" t="s">
        <v>21</v>
      </c>
      <c r="E27" s="7" t="n">
        <v>117.72</v>
      </c>
      <c r="F27" s="8" t="n">
        <v>8</v>
      </c>
      <c r="G27" s="9" t="n">
        <f aca="false">E27/F27</f>
        <v>14.715</v>
      </c>
      <c r="H27" s="10" t="n">
        <v>0.1</v>
      </c>
      <c r="I27" s="11" t="n">
        <f aca="false">E27/F27/(1-H27)</f>
        <v>16.35</v>
      </c>
      <c r="J27" s="12" t="n">
        <f aca="false">(I27-G27)/G27</f>
        <v>0.111111111111111</v>
      </c>
      <c r="K27" s="9" t="n">
        <f aca="false">I27-G27</f>
        <v>1.635</v>
      </c>
      <c r="L27" s="13" t="s">
        <v>19</v>
      </c>
    </row>
    <row r="28" customFormat="false" ht="15" hidden="false" customHeight="false" outlineLevel="0" collapsed="false">
      <c r="A28" s="5" t="s">
        <v>15</v>
      </c>
      <c r="B28" s="6" t="s">
        <v>42</v>
      </c>
      <c r="C28" s="6" t="s">
        <v>17</v>
      </c>
      <c r="D28" s="5" t="s">
        <v>18</v>
      </c>
      <c r="E28" s="7" t="n">
        <v>117.72</v>
      </c>
      <c r="F28" s="8" t="n">
        <v>10</v>
      </c>
      <c r="G28" s="9" t="n">
        <f aca="false">E28/F28</f>
        <v>11.772</v>
      </c>
      <c r="H28" s="10" t="n">
        <v>0.1</v>
      </c>
      <c r="I28" s="11" t="n">
        <f aca="false">E28/F28/(1-H28)</f>
        <v>13.08</v>
      </c>
      <c r="J28" s="12" t="n">
        <f aca="false">(I28-G28)/G28</f>
        <v>0.111111111111111</v>
      </c>
      <c r="K28" s="9" t="n">
        <f aca="false">I28-G28</f>
        <v>1.308</v>
      </c>
      <c r="L28" s="13" t="s">
        <v>19</v>
      </c>
    </row>
    <row r="29" customFormat="false" ht="15" hidden="false" customHeight="false" outlineLevel="0" collapsed="false">
      <c r="A29" s="5" t="s">
        <v>15</v>
      </c>
      <c r="B29" s="6" t="s">
        <v>43</v>
      </c>
      <c r="C29" s="6" t="s">
        <v>17</v>
      </c>
      <c r="D29" s="5" t="s">
        <v>21</v>
      </c>
      <c r="E29" s="7" t="n">
        <v>117.72</v>
      </c>
      <c r="F29" s="8" t="n">
        <v>8</v>
      </c>
      <c r="G29" s="9" t="n">
        <f aca="false">E29/F29</f>
        <v>14.715</v>
      </c>
      <c r="H29" s="10" t="n">
        <v>0.1</v>
      </c>
      <c r="I29" s="11" t="n">
        <f aca="false">E29/F29/(1-H29)</f>
        <v>16.35</v>
      </c>
      <c r="J29" s="12" t="n">
        <f aca="false">(I29-G29)/G29</f>
        <v>0.111111111111111</v>
      </c>
      <c r="K29" s="9" t="n">
        <f aca="false">I29-G29</f>
        <v>1.635</v>
      </c>
      <c r="L29" s="13" t="s">
        <v>19</v>
      </c>
    </row>
    <row r="30" customFormat="false" ht="15" hidden="false" customHeight="false" outlineLevel="0" collapsed="false">
      <c r="A30" s="5" t="s">
        <v>15</v>
      </c>
      <c r="B30" s="6" t="s">
        <v>44</v>
      </c>
      <c r="C30" s="6" t="s">
        <v>17</v>
      </c>
      <c r="D30" s="5" t="s">
        <v>18</v>
      </c>
      <c r="E30" s="7" t="n">
        <v>117.72</v>
      </c>
      <c r="F30" s="8" t="n">
        <v>10</v>
      </c>
      <c r="G30" s="9" t="n">
        <f aca="false">E30/F30</f>
        <v>11.772</v>
      </c>
      <c r="H30" s="10" t="n">
        <v>0.1</v>
      </c>
      <c r="I30" s="11" t="n">
        <f aca="false">E30/F30/(1-H30)</f>
        <v>13.08</v>
      </c>
      <c r="J30" s="12" t="n">
        <f aca="false">(I30-G30)/G30</f>
        <v>0.111111111111111</v>
      </c>
      <c r="K30" s="9" t="n">
        <f aca="false">I30-G30</f>
        <v>1.308</v>
      </c>
      <c r="L30" s="13" t="s">
        <v>19</v>
      </c>
    </row>
    <row r="31" customFormat="false" ht="15" hidden="false" customHeight="false" outlineLevel="0" collapsed="false">
      <c r="A31" s="5" t="s">
        <v>15</v>
      </c>
      <c r="B31" s="6" t="s">
        <v>45</v>
      </c>
      <c r="C31" s="6" t="s">
        <v>17</v>
      </c>
      <c r="D31" s="5" t="s">
        <v>21</v>
      </c>
      <c r="E31" s="7" t="n">
        <v>117.72</v>
      </c>
      <c r="F31" s="8" t="n">
        <v>8</v>
      </c>
      <c r="G31" s="9" t="n">
        <f aca="false">E31/F31</f>
        <v>14.715</v>
      </c>
      <c r="H31" s="10" t="n">
        <v>0.1</v>
      </c>
      <c r="I31" s="11" t="n">
        <f aca="false">E31/F31/(1-H31)</f>
        <v>16.35</v>
      </c>
      <c r="J31" s="12" t="n">
        <f aca="false">(I31-G31)/G31</f>
        <v>0.111111111111111</v>
      </c>
      <c r="K31" s="9" t="n">
        <f aca="false">I31-G31</f>
        <v>1.635</v>
      </c>
      <c r="L31" s="13" t="s">
        <v>19</v>
      </c>
    </row>
    <row r="32" customFormat="false" ht="15" hidden="false" customHeight="false" outlineLevel="0" collapsed="false">
      <c r="A32" s="5" t="s">
        <v>15</v>
      </c>
      <c r="B32" s="6" t="s">
        <v>46</v>
      </c>
      <c r="C32" s="6" t="s">
        <v>17</v>
      </c>
      <c r="D32" s="5" t="s">
        <v>18</v>
      </c>
      <c r="E32" s="7" t="n">
        <v>117.72</v>
      </c>
      <c r="F32" s="8" t="n">
        <v>10</v>
      </c>
      <c r="G32" s="9" t="n">
        <f aca="false">E32/F32</f>
        <v>11.772</v>
      </c>
      <c r="H32" s="10" t="n">
        <v>0.1</v>
      </c>
      <c r="I32" s="11" t="n">
        <f aca="false">E32/F32/(1-H32)</f>
        <v>13.08</v>
      </c>
      <c r="J32" s="12" t="n">
        <f aca="false">(I32-G32)/G32</f>
        <v>0.111111111111111</v>
      </c>
      <c r="K32" s="9" t="n">
        <f aca="false">I32-G32</f>
        <v>1.308</v>
      </c>
      <c r="L32" s="13" t="s">
        <v>19</v>
      </c>
    </row>
    <row r="33" customFormat="false" ht="15" hidden="false" customHeight="false" outlineLevel="0" collapsed="false">
      <c r="A33" s="5" t="s">
        <v>15</v>
      </c>
      <c r="B33" s="6" t="s">
        <v>47</v>
      </c>
      <c r="C33" s="6" t="s">
        <v>17</v>
      </c>
      <c r="D33" s="5" t="s">
        <v>21</v>
      </c>
      <c r="E33" s="7" t="n">
        <v>117.72</v>
      </c>
      <c r="F33" s="8" t="n">
        <v>8</v>
      </c>
      <c r="G33" s="9" t="n">
        <f aca="false">E33/F33</f>
        <v>14.715</v>
      </c>
      <c r="H33" s="10" t="n">
        <v>0.1</v>
      </c>
      <c r="I33" s="11" t="n">
        <f aca="false">E33/F33/(1-H33)</f>
        <v>16.35</v>
      </c>
      <c r="J33" s="12" t="n">
        <f aca="false">(I33-G33)/G33</f>
        <v>0.111111111111111</v>
      </c>
      <c r="K33" s="9" t="n">
        <f aca="false">I33-G33</f>
        <v>1.635</v>
      </c>
      <c r="L33" s="13" t="s">
        <v>19</v>
      </c>
    </row>
    <row r="34" customFormat="false" ht="15" hidden="false" customHeight="false" outlineLevel="0" collapsed="false">
      <c r="A34" s="5" t="s">
        <v>15</v>
      </c>
      <c r="B34" s="6" t="s">
        <v>48</v>
      </c>
      <c r="C34" s="6" t="s">
        <v>17</v>
      </c>
      <c r="D34" s="5" t="s">
        <v>18</v>
      </c>
      <c r="E34" s="7" t="n">
        <v>117.72</v>
      </c>
      <c r="F34" s="8" t="n">
        <v>10</v>
      </c>
      <c r="G34" s="9" t="n">
        <f aca="false">E34/F34</f>
        <v>11.772</v>
      </c>
      <c r="H34" s="10" t="n">
        <v>0.1</v>
      </c>
      <c r="I34" s="11" t="n">
        <f aca="false">E34/F34/(1-H34)</f>
        <v>13.08</v>
      </c>
      <c r="J34" s="12" t="n">
        <f aca="false">(I34-G34)/G34</f>
        <v>0.111111111111111</v>
      </c>
      <c r="K34" s="9" t="n">
        <f aca="false">I34-G34</f>
        <v>1.308</v>
      </c>
      <c r="L34" s="13" t="s">
        <v>19</v>
      </c>
    </row>
    <row r="35" customFormat="false" ht="15" hidden="false" customHeight="false" outlineLevel="0" collapsed="false">
      <c r="A35" s="5" t="s">
        <v>15</v>
      </c>
      <c r="B35" s="6" t="s">
        <v>49</v>
      </c>
      <c r="C35" s="6" t="s">
        <v>17</v>
      </c>
      <c r="D35" s="5" t="s">
        <v>21</v>
      </c>
      <c r="E35" s="7" t="n">
        <v>117.72</v>
      </c>
      <c r="F35" s="8" t="n">
        <v>8</v>
      </c>
      <c r="G35" s="9" t="n">
        <f aca="false">E35/F35</f>
        <v>14.715</v>
      </c>
      <c r="H35" s="10" t="n">
        <v>0.1</v>
      </c>
      <c r="I35" s="11" t="n">
        <f aca="false">E35/F35/(1-H35)</f>
        <v>16.35</v>
      </c>
      <c r="J35" s="12" t="n">
        <f aca="false">(I35-G35)/G35</f>
        <v>0.111111111111111</v>
      </c>
      <c r="K35" s="9" t="n">
        <f aca="false">I35-G35</f>
        <v>1.635</v>
      </c>
      <c r="L35" s="13" t="s">
        <v>19</v>
      </c>
    </row>
    <row r="36" customFormat="false" ht="15" hidden="false" customHeight="false" outlineLevel="0" collapsed="false">
      <c r="A36" s="5" t="s">
        <v>15</v>
      </c>
      <c r="B36" s="6" t="s">
        <v>50</v>
      </c>
      <c r="C36" s="6" t="s">
        <v>17</v>
      </c>
      <c r="D36" s="5" t="s">
        <v>18</v>
      </c>
      <c r="E36" s="7" t="n">
        <v>117.72</v>
      </c>
      <c r="F36" s="8" t="n">
        <v>10</v>
      </c>
      <c r="G36" s="9" t="n">
        <f aca="false">E36/F36</f>
        <v>11.772</v>
      </c>
      <c r="H36" s="10" t="n">
        <v>0.1</v>
      </c>
      <c r="I36" s="11" t="n">
        <f aca="false">E36/F36/(1-H36)</f>
        <v>13.08</v>
      </c>
      <c r="J36" s="12" t="n">
        <f aca="false">(I36-G36)/G36</f>
        <v>0.111111111111111</v>
      </c>
      <c r="K36" s="9" t="n">
        <f aca="false">I36-G36</f>
        <v>1.308</v>
      </c>
      <c r="L36" s="13" t="s">
        <v>19</v>
      </c>
    </row>
    <row r="37" customFormat="false" ht="15" hidden="false" customHeight="false" outlineLevel="0" collapsed="false">
      <c r="A37" s="5" t="s">
        <v>15</v>
      </c>
      <c r="B37" s="6" t="s">
        <v>51</v>
      </c>
      <c r="C37" s="6" t="s">
        <v>17</v>
      </c>
      <c r="D37" s="5" t="s">
        <v>21</v>
      </c>
      <c r="E37" s="7" t="n">
        <v>117.72</v>
      </c>
      <c r="F37" s="8" t="n">
        <v>8</v>
      </c>
      <c r="G37" s="9" t="n">
        <f aca="false">E37/F37</f>
        <v>14.715</v>
      </c>
      <c r="H37" s="10" t="n">
        <v>0.1</v>
      </c>
      <c r="I37" s="11" t="n">
        <f aca="false">E37/F37/(1-H37)</f>
        <v>16.35</v>
      </c>
      <c r="J37" s="12" t="n">
        <f aca="false">(I37-G37)/G37</f>
        <v>0.111111111111111</v>
      </c>
      <c r="K37" s="9" t="n">
        <f aca="false">I37-G37</f>
        <v>1.635</v>
      </c>
      <c r="L37" s="13" t="s">
        <v>19</v>
      </c>
    </row>
    <row r="38" customFormat="false" ht="15" hidden="false" customHeight="false" outlineLevel="0" collapsed="false">
      <c r="A38" s="5" t="s">
        <v>15</v>
      </c>
      <c r="B38" s="6" t="s">
        <v>52</v>
      </c>
      <c r="C38" s="6" t="s">
        <v>17</v>
      </c>
      <c r="D38" s="5" t="s">
        <v>18</v>
      </c>
      <c r="E38" s="7" t="n">
        <v>162.27</v>
      </c>
      <c r="F38" s="8" t="n">
        <v>10</v>
      </c>
      <c r="G38" s="9" t="n">
        <f aca="false">E38/F38</f>
        <v>16.227</v>
      </c>
      <c r="H38" s="10" t="n">
        <v>0.1</v>
      </c>
      <c r="I38" s="11" t="n">
        <f aca="false">E38/F38/(1-H38)</f>
        <v>18.03</v>
      </c>
      <c r="J38" s="12" t="n">
        <f aca="false">(I38-G38)/G38</f>
        <v>0.111111111111111</v>
      </c>
      <c r="K38" s="9" t="n">
        <f aca="false">I38-G38</f>
        <v>1.803</v>
      </c>
      <c r="L38" s="13" t="s">
        <v>19</v>
      </c>
    </row>
    <row r="39" customFormat="false" ht="15" hidden="false" customHeight="false" outlineLevel="0" collapsed="false">
      <c r="A39" s="5" t="s">
        <v>15</v>
      </c>
      <c r="B39" s="6" t="s">
        <v>53</v>
      </c>
      <c r="C39" s="6" t="s">
        <v>17</v>
      </c>
      <c r="D39" s="5" t="s">
        <v>21</v>
      </c>
      <c r="E39" s="7" t="n">
        <v>162.27</v>
      </c>
      <c r="F39" s="8" t="n">
        <v>8</v>
      </c>
      <c r="G39" s="9" t="n">
        <f aca="false">E39/F39</f>
        <v>20.28375</v>
      </c>
      <c r="H39" s="10" t="n">
        <v>0.1</v>
      </c>
      <c r="I39" s="11" t="n">
        <f aca="false">E39/F39/(1-H39)</f>
        <v>22.5375</v>
      </c>
      <c r="J39" s="12" t="n">
        <f aca="false">(I39-G39)/G39</f>
        <v>0.111111111111111</v>
      </c>
      <c r="K39" s="9" t="n">
        <f aca="false">I39-G39</f>
        <v>2.25375</v>
      </c>
      <c r="L39" s="13" t="s">
        <v>19</v>
      </c>
    </row>
    <row r="40" customFormat="false" ht="15" hidden="false" customHeight="false" outlineLevel="0" collapsed="false">
      <c r="A40" s="5" t="s">
        <v>15</v>
      </c>
      <c r="B40" s="6" t="s">
        <v>54</v>
      </c>
      <c r="C40" s="6" t="s">
        <v>17</v>
      </c>
      <c r="D40" s="5" t="s">
        <v>18</v>
      </c>
      <c r="E40" s="7" t="n">
        <v>153.77</v>
      </c>
      <c r="F40" s="8" t="n">
        <v>10</v>
      </c>
      <c r="G40" s="9" t="n">
        <f aca="false">E40/F40</f>
        <v>15.377</v>
      </c>
      <c r="H40" s="10" t="n">
        <v>0.1</v>
      </c>
      <c r="I40" s="11" t="n">
        <f aca="false">E40/F40/(1-H40)</f>
        <v>17.0855555555556</v>
      </c>
      <c r="J40" s="12" t="n">
        <f aca="false">(I40-G40)/G40</f>
        <v>0.111111111111111</v>
      </c>
      <c r="K40" s="9" t="n">
        <f aca="false">I40-G40</f>
        <v>1.70855555555555</v>
      </c>
      <c r="L40" s="13" t="s">
        <v>19</v>
      </c>
    </row>
    <row r="41" customFormat="false" ht="15" hidden="false" customHeight="false" outlineLevel="0" collapsed="false">
      <c r="A41" s="5" t="s">
        <v>15</v>
      </c>
      <c r="B41" s="6" t="s">
        <v>55</v>
      </c>
      <c r="C41" s="6" t="s">
        <v>17</v>
      </c>
      <c r="D41" s="5" t="s">
        <v>21</v>
      </c>
      <c r="E41" s="7" t="n">
        <v>153.77</v>
      </c>
      <c r="F41" s="8" t="n">
        <v>8</v>
      </c>
      <c r="G41" s="9" t="n">
        <f aca="false">E41/F41</f>
        <v>19.22125</v>
      </c>
      <c r="H41" s="10" t="n">
        <v>0.1</v>
      </c>
      <c r="I41" s="11" t="n">
        <f aca="false">E41/F41/(1-H41)</f>
        <v>21.3569444444444</v>
      </c>
      <c r="J41" s="12" t="n">
        <f aca="false">(I41-G41)/G41</f>
        <v>0.111111111111111</v>
      </c>
      <c r="K41" s="9" t="n">
        <f aca="false">I41-G41</f>
        <v>2.13569444444444</v>
      </c>
      <c r="L41" s="13" t="s">
        <v>19</v>
      </c>
    </row>
    <row r="42" customFormat="false" ht="15" hidden="false" customHeight="false" outlineLevel="0" collapsed="false">
      <c r="A42" s="5" t="s">
        <v>15</v>
      </c>
      <c r="B42" s="6" t="s">
        <v>56</v>
      </c>
      <c r="C42" s="6" t="s">
        <v>17</v>
      </c>
      <c r="D42" s="5" t="s">
        <v>18</v>
      </c>
      <c r="E42" s="7" t="n">
        <v>153.77</v>
      </c>
      <c r="F42" s="8" t="n">
        <v>10</v>
      </c>
      <c r="G42" s="9" t="n">
        <f aca="false">E42/F42</f>
        <v>15.377</v>
      </c>
      <c r="H42" s="10" t="n">
        <v>0.1</v>
      </c>
      <c r="I42" s="11" t="n">
        <f aca="false">E42/F42/(1-H42)</f>
        <v>17.0855555555556</v>
      </c>
      <c r="J42" s="12" t="n">
        <f aca="false">(I42-G42)/G42</f>
        <v>0.111111111111111</v>
      </c>
      <c r="K42" s="9" t="n">
        <f aca="false">I42-G42</f>
        <v>1.70855555555555</v>
      </c>
      <c r="L42" s="13" t="s">
        <v>19</v>
      </c>
    </row>
    <row r="43" customFormat="false" ht="15" hidden="false" customHeight="false" outlineLevel="0" collapsed="false">
      <c r="A43" s="5" t="s">
        <v>15</v>
      </c>
      <c r="B43" s="6" t="s">
        <v>57</v>
      </c>
      <c r="C43" s="6" t="s">
        <v>17</v>
      </c>
      <c r="D43" s="5" t="s">
        <v>21</v>
      </c>
      <c r="E43" s="7" t="n">
        <v>153.77</v>
      </c>
      <c r="F43" s="8" t="n">
        <v>8</v>
      </c>
      <c r="G43" s="9" t="n">
        <f aca="false">E43/F43</f>
        <v>19.22125</v>
      </c>
      <c r="H43" s="10" t="n">
        <v>0.1</v>
      </c>
      <c r="I43" s="11" t="n">
        <f aca="false">E43/F43/(1-H43)</f>
        <v>21.3569444444444</v>
      </c>
      <c r="J43" s="12" t="n">
        <f aca="false">(I43-G43)/G43</f>
        <v>0.111111111111111</v>
      </c>
      <c r="K43" s="9" t="n">
        <f aca="false">I43-G43</f>
        <v>2.13569444444444</v>
      </c>
      <c r="L43" s="13" t="s">
        <v>19</v>
      </c>
    </row>
    <row r="44" customFormat="false" ht="15" hidden="false" customHeight="false" outlineLevel="0" collapsed="false">
      <c r="A44" s="5" t="s">
        <v>15</v>
      </c>
      <c r="B44" s="6" t="s">
        <v>58</v>
      </c>
      <c r="C44" s="6" t="s">
        <v>17</v>
      </c>
      <c r="D44" s="5" t="s">
        <v>18</v>
      </c>
      <c r="E44" s="7" t="n">
        <v>153.77</v>
      </c>
      <c r="F44" s="8" t="n">
        <v>10</v>
      </c>
      <c r="G44" s="9" t="n">
        <f aca="false">E44/F44</f>
        <v>15.377</v>
      </c>
      <c r="H44" s="10" t="n">
        <v>0.1</v>
      </c>
      <c r="I44" s="11" t="n">
        <f aca="false">E44/F44/(1-H44)</f>
        <v>17.0855555555556</v>
      </c>
      <c r="J44" s="12" t="n">
        <f aca="false">(I44-G44)/G44</f>
        <v>0.111111111111111</v>
      </c>
      <c r="K44" s="9" t="n">
        <f aca="false">I44-G44</f>
        <v>1.70855555555555</v>
      </c>
      <c r="L44" s="13" t="s">
        <v>19</v>
      </c>
    </row>
    <row r="45" customFormat="false" ht="15" hidden="false" customHeight="false" outlineLevel="0" collapsed="false">
      <c r="A45" s="5" t="s">
        <v>15</v>
      </c>
      <c r="B45" s="6" t="s">
        <v>59</v>
      </c>
      <c r="C45" s="6" t="s">
        <v>17</v>
      </c>
      <c r="D45" s="5" t="s">
        <v>21</v>
      </c>
      <c r="E45" s="7" t="n">
        <v>153.77</v>
      </c>
      <c r="F45" s="8" t="n">
        <v>8</v>
      </c>
      <c r="G45" s="9" t="n">
        <f aca="false">E45/F45</f>
        <v>19.22125</v>
      </c>
      <c r="H45" s="10" t="n">
        <v>0.1</v>
      </c>
      <c r="I45" s="11" t="n">
        <f aca="false">E45/F45/(1-H45)</f>
        <v>21.3569444444444</v>
      </c>
      <c r="J45" s="12" t="n">
        <f aca="false">(I45-G45)/G45</f>
        <v>0.111111111111111</v>
      </c>
      <c r="K45" s="9" t="n">
        <f aca="false">I45-G45</f>
        <v>2.13569444444444</v>
      </c>
      <c r="L45" s="13" t="s">
        <v>19</v>
      </c>
    </row>
    <row r="46" customFormat="false" ht="15" hidden="false" customHeight="false" outlineLevel="0" collapsed="false">
      <c r="A46" s="5" t="s">
        <v>15</v>
      </c>
      <c r="B46" s="6" t="s">
        <v>60</v>
      </c>
      <c r="C46" s="6" t="s">
        <v>17</v>
      </c>
      <c r="D46" s="5" t="s">
        <v>18</v>
      </c>
      <c r="E46" s="7" t="n">
        <v>153.77</v>
      </c>
      <c r="F46" s="8" t="n">
        <v>10</v>
      </c>
      <c r="G46" s="9" t="n">
        <f aca="false">E46/F46</f>
        <v>15.377</v>
      </c>
      <c r="H46" s="10" t="n">
        <v>0.1</v>
      </c>
      <c r="I46" s="11" t="n">
        <f aca="false">E46/F46/(1-H46)</f>
        <v>17.0855555555556</v>
      </c>
      <c r="J46" s="12" t="n">
        <f aca="false">(I46-G46)/G46</f>
        <v>0.111111111111111</v>
      </c>
      <c r="K46" s="9" t="n">
        <f aca="false">I46-G46</f>
        <v>1.70855555555555</v>
      </c>
      <c r="L46" s="13" t="s">
        <v>19</v>
      </c>
    </row>
    <row r="47" customFormat="false" ht="15" hidden="false" customHeight="false" outlineLevel="0" collapsed="false">
      <c r="A47" s="5" t="s">
        <v>15</v>
      </c>
      <c r="B47" s="6" t="s">
        <v>61</v>
      </c>
      <c r="C47" s="6" t="s">
        <v>17</v>
      </c>
      <c r="D47" s="5" t="s">
        <v>21</v>
      </c>
      <c r="E47" s="7" t="n">
        <v>153.77</v>
      </c>
      <c r="F47" s="8" t="n">
        <v>8</v>
      </c>
      <c r="G47" s="9" t="n">
        <f aca="false">E47/F47</f>
        <v>19.22125</v>
      </c>
      <c r="H47" s="10" t="n">
        <v>0.1</v>
      </c>
      <c r="I47" s="11" t="n">
        <f aca="false">E47/F47/(1-H47)</f>
        <v>21.3569444444444</v>
      </c>
      <c r="J47" s="12" t="n">
        <f aca="false">(I47-G47)/G47</f>
        <v>0.111111111111111</v>
      </c>
      <c r="K47" s="9" t="n">
        <f aca="false">I47-G47</f>
        <v>2.13569444444444</v>
      </c>
      <c r="L47" s="13" t="s">
        <v>19</v>
      </c>
    </row>
    <row r="48" customFormat="false" ht="15" hidden="false" customHeight="false" outlineLevel="0" collapsed="false">
      <c r="A48" s="5" t="s">
        <v>15</v>
      </c>
      <c r="B48" s="6" t="s">
        <v>62</v>
      </c>
      <c r="C48" s="6" t="s">
        <v>17</v>
      </c>
      <c r="D48" s="5" t="s">
        <v>18</v>
      </c>
      <c r="E48" s="7" t="n">
        <v>153.77</v>
      </c>
      <c r="F48" s="8" t="n">
        <v>10</v>
      </c>
      <c r="G48" s="9" t="n">
        <f aca="false">E48/F48</f>
        <v>15.377</v>
      </c>
      <c r="H48" s="10" t="n">
        <v>0.1</v>
      </c>
      <c r="I48" s="11" t="n">
        <f aca="false">E48/F48/(1-H48)</f>
        <v>17.0855555555556</v>
      </c>
      <c r="J48" s="12" t="n">
        <f aca="false">(I48-G48)/G48</f>
        <v>0.111111111111111</v>
      </c>
      <c r="K48" s="9" t="n">
        <f aca="false">I48-G48</f>
        <v>1.70855555555555</v>
      </c>
      <c r="L48" s="13" t="s">
        <v>19</v>
      </c>
    </row>
    <row r="49" customFormat="false" ht="15" hidden="false" customHeight="false" outlineLevel="0" collapsed="false">
      <c r="A49" s="5" t="s">
        <v>15</v>
      </c>
      <c r="B49" s="6" t="s">
        <v>63</v>
      </c>
      <c r="C49" s="6" t="s">
        <v>17</v>
      </c>
      <c r="D49" s="5" t="s">
        <v>21</v>
      </c>
      <c r="E49" s="7" t="n">
        <v>153.77</v>
      </c>
      <c r="F49" s="8" t="n">
        <v>8</v>
      </c>
      <c r="G49" s="9" t="n">
        <f aca="false">E49/F49</f>
        <v>19.22125</v>
      </c>
      <c r="H49" s="10" t="n">
        <v>0.1</v>
      </c>
      <c r="I49" s="11" t="n">
        <f aca="false">E49/F49/(1-H49)</f>
        <v>21.3569444444444</v>
      </c>
      <c r="J49" s="12" t="n">
        <f aca="false">(I49-G49)/G49</f>
        <v>0.111111111111111</v>
      </c>
      <c r="K49" s="9" t="n">
        <f aca="false">I49-G49</f>
        <v>2.13569444444444</v>
      </c>
      <c r="L49" s="13" t="s">
        <v>19</v>
      </c>
    </row>
    <row r="50" customFormat="false" ht="15" hidden="false" customHeight="false" outlineLevel="0" collapsed="false">
      <c r="A50" s="5" t="s">
        <v>15</v>
      </c>
      <c r="B50" s="6" t="s">
        <v>64</v>
      </c>
      <c r="C50" s="6" t="s">
        <v>17</v>
      </c>
      <c r="D50" s="5" t="s">
        <v>18</v>
      </c>
      <c r="E50" s="7" t="n">
        <v>153.77</v>
      </c>
      <c r="F50" s="8" t="n">
        <v>10</v>
      </c>
      <c r="G50" s="9" t="n">
        <f aca="false">E50/F50</f>
        <v>15.377</v>
      </c>
      <c r="H50" s="10" t="n">
        <v>0.1</v>
      </c>
      <c r="I50" s="11" t="n">
        <f aca="false">E50/F50/(1-H50)</f>
        <v>17.0855555555556</v>
      </c>
      <c r="J50" s="12" t="n">
        <f aca="false">(I50-G50)/G50</f>
        <v>0.111111111111111</v>
      </c>
      <c r="K50" s="9" t="n">
        <f aca="false">I50-G50</f>
        <v>1.70855555555555</v>
      </c>
      <c r="L50" s="13" t="s">
        <v>19</v>
      </c>
    </row>
    <row r="51" customFormat="false" ht="15" hidden="false" customHeight="false" outlineLevel="0" collapsed="false">
      <c r="A51" s="5" t="s">
        <v>15</v>
      </c>
      <c r="B51" s="6" t="s">
        <v>65</v>
      </c>
      <c r="C51" s="6" t="s">
        <v>17</v>
      </c>
      <c r="D51" s="5" t="s">
        <v>21</v>
      </c>
      <c r="E51" s="7" t="n">
        <v>153.77</v>
      </c>
      <c r="F51" s="8" t="n">
        <v>8</v>
      </c>
      <c r="G51" s="9" t="n">
        <f aca="false">E51/F51</f>
        <v>19.22125</v>
      </c>
      <c r="H51" s="10" t="n">
        <v>0.1</v>
      </c>
      <c r="I51" s="11" t="n">
        <f aca="false">E51/F51/(1-H51)</f>
        <v>21.3569444444444</v>
      </c>
      <c r="J51" s="12" t="n">
        <f aca="false">(I51-G51)/G51</f>
        <v>0.111111111111111</v>
      </c>
      <c r="K51" s="9" t="n">
        <f aca="false">I51-G51</f>
        <v>2.13569444444444</v>
      </c>
      <c r="L51" s="13" t="s">
        <v>19</v>
      </c>
    </row>
    <row r="52" customFormat="false" ht="15" hidden="false" customHeight="false" outlineLevel="0" collapsed="false">
      <c r="A52" s="14" t="s">
        <v>66</v>
      </c>
      <c r="B52" s="15" t="s">
        <v>67</v>
      </c>
      <c r="C52" s="15" t="s">
        <v>17</v>
      </c>
      <c r="D52" s="14" t="s">
        <v>18</v>
      </c>
      <c r="E52" s="16" t="n">
        <v>111.11</v>
      </c>
      <c r="F52" s="17" t="n">
        <v>10</v>
      </c>
      <c r="G52" s="18" t="n">
        <f aca="false">E52/F52</f>
        <v>11.111</v>
      </c>
      <c r="H52" s="19" t="n">
        <v>0.1</v>
      </c>
      <c r="I52" s="20" t="n">
        <f aca="false">E52/F52/(1-H52)</f>
        <v>12.3455555555556</v>
      </c>
      <c r="J52" s="21" t="n">
        <f aca="false">(I52-G52)/G52</f>
        <v>0.111111111111111</v>
      </c>
      <c r="K52" s="18" t="n">
        <f aca="false">I52-G52</f>
        <v>1.23455555555556</v>
      </c>
      <c r="L52" s="22"/>
    </row>
    <row r="53" customFormat="false" ht="15" hidden="false" customHeight="false" outlineLevel="0" collapsed="false">
      <c r="A53" s="23" t="s">
        <v>66</v>
      </c>
      <c r="B53" s="24" t="s">
        <v>68</v>
      </c>
      <c r="C53" s="24" t="s">
        <v>17</v>
      </c>
      <c r="D53" s="23" t="s">
        <v>21</v>
      </c>
      <c r="E53" s="25" t="n">
        <v>111.11</v>
      </c>
      <c r="F53" s="26" t="n">
        <v>8</v>
      </c>
      <c r="G53" s="27" t="n">
        <f aca="false">E53/F53</f>
        <v>13.88875</v>
      </c>
      <c r="H53" s="28" t="n">
        <v>0.1</v>
      </c>
      <c r="I53" s="29" t="n">
        <f aca="false">E53/F53/(1-H53)</f>
        <v>15.4319444444444</v>
      </c>
      <c r="J53" s="30" t="n">
        <f aca="false">(I53-G53)/G53</f>
        <v>0.111111111111111</v>
      </c>
      <c r="K53" s="27" t="n">
        <f aca="false">I53-G53</f>
        <v>1.54319444444444</v>
      </c>
      <c r="L53" s="22"/>
    </row>
    <row r="54" customFormat="false" ht="15" hidden="false" customHeight="false" outlineLevel="0" collapsed="false">
      <c r="A54" s="14" t="s">
        <v>66</v>
      </c>
      <c r="B54" s="15" t="s">
        <v>69</v>
      </c>
      <c r="C54" s="15" t="s">
        <v>17</v>
      </c>
      <c r="D54" s="14" t="s">
        <v>21</v>
      </c>
      <c r="E54" s="16" t="n">
        <v>145.41</v>
      </c>
      <c r="F54" s="17" t="n">
        <v>8</v>
      </c>
      <c r="G54" s="18" t="n">
        <f aca="false">E54/F54</f>
        <v>18.17625</v>
      </c>
      <c r="H54" s="19" t="n">
        <v>0.1</v>
      </c>
      <c r="I54" s="20" t="n">
        <f aca="false">E54/F54/(1-H54)</f>
        <v>20.1958333333333</v>
      </c>
      <c r="J54" s="21" t="n">
        <f aca="false">(I54-G54)/G54</f>
        <v>0.111111111111111</v>
      </c>
      <c r="K54" s="18" t="n">
        <f aca="false">I54-G54</f>
        <v>2.01958333333333</v>
      </c>
      <c r="L54" s="22"/>
    </row>
    <row r="55" customFormat="false" ht="15" hidden="false" customHeight="false" outlineLevel="0" collapsed="false">
      <c r="A55" s="23" t="s">
        <v>66</v>
      </c>
      <c r="B55" s="24" t="s">
        <v>70</v>
      </c>
      <c r="C55" s="24" t="s">
        <v>17</v>
      </c>
      <c r="D55" s="23" t="s">
        <v>21</v>
      </c>
      <c r="E55" s="25" t="n">
        <v>145.41</v>
      </c>
      <c r="F55" s="26" t="n">
        <v>8</v>
      </c>
      <c r="G55" s="27" t="n">
        <f aca="false">E55/F55</f>
        <v>18.17625</v>
      </c>
      <c r="H55" s="28" t="n">
        <v>0.1</v>
      </c>
      <c r="I55" s="29" t="n">
        <f aca="false">E55/F55/(1-H55)</f>
        <v>20.1958333333333</v>
      </c>
      <c r="J55" s="30" t="n">
        <f aca="false">(I55-G55)/G55</f>
        <v>0.111111111111111</v>
      </c>
      <c r="K55" s="27" t="n">
        <f aca="false">I55-G55</f>
        <v>2.01958333333333</v>
      </c>
      <c r="L55" s="22"/>
    </row>
    <row r="56" customFormat="false" ht="15" hidden="false" customHeight="false" outlineLevel="0" collapsed="false">
      <c r="A56" s="14" t="s">
        <v>66</v>
      </c>
      <c r="B56" s="15" t="s">
        <v>71</v>
      </c>
      <c r="C56" s="15" t="s">
        <v>17</v>
      </c>
      <c r="D56" s="14" t="s">
        <v>18</v>
      </c>
      <c r="E56" s="16" t="n">
        <v>111.11</v>
      </c>
      <c r="F56" s="17" t="n">
        <v>10</v>
      </c>
      <c r="G56" s="18" t="n">
        <f aca="false">E56/F56</f>
        <v>11.111</v>
      </c>
      <c r="H56" s="19" t="n">
        <v>0.1</v>
      </c>
      <c r="I56" s="20" t="n">
        <f aca="false">E56/F56/(1-H56)</f>
        <v>12.3455555555556</v>
      </c>
      <c r="J56" s="21" t="n">
        <f aca="false">(I56-G56)/G56</f>
        <v>0.111111111111111</v>
      </c>
      <c r="K56" s="18" t="n">
        <f aca="false">I56-G56</f>
        <v>1.23455555555556</v>
      </c>
      <c r="L56" s="22"/>
    </row>
    <row r="57" customFormat="false" ht="15" hidden="false" customHeight="false" outlineLevel="0" collapsed="false">
      <c r="A57" s="23" t="s">
        <v>66</v>
      </c>
      <c r="B57" s="24" t="s">
        <v>72</v>
      </c>
      <c r="C57" s="24" t="s">
        <v>17</v>
      </c>
      <c r="D57" s="23" t="s">
        <v>18</v>
      </c>
      <c r="E57" s="25" t="n">
        <v>111.11</v>
      </c>
      <c r="F57" s="26" t="n">
        <v>10</v>
      </c>
      <c r="G57" s="27" t="n">
        <f aca="false">E57/F57</f>
        <v>11.111</v>
      </c>
      <c r="H57" s="28" t="n">
        <v>0.1</v>
      </c>
      <c r="I57" s="29" t="n">
        <f aca="false">E57/F57/(1-H57)</f>
        <v>12.3455555555556</v>
      </c>
      <c r="J57" s="30" t="n">
        <f aca="false">(I57-G57)/G57</f>
        <v>0.111111111111111</v>
      </c>
      <c r="K57" s="27" t="n">
        <f aca="false">I57-G57</f>
        <v>1.23455555555556</v>
      </c>
      <c r="L57" s="22"/>
    </row>
    <row r="58" customFormat="false" ht="15" hidden="false" customHeight="false" outlineLevel="0" collapsed="false">
      <c r="A58" s="14" t="s">
        <v>66</v>
      </c>
      <c r="B58" s="15" t="s">
        <v>73</v>
      </c>
      <c r="C58" s="15" t="s">
        <v>17</v>
      </c>
      <c r="D58" s="14" t="s">
        <v>21</v>
      </c>
      <c r="E58" s="16" t="n">
        <v>111.11</v>
      </c>
      <c r="F58" s="17" t="n">
        <v>8</v>
      </c>
      <c r="G58" s="18" t="n">
        <f aca="false">E58/F58</f>
        <v>13.88875</v>
      </c>
      <c r="H58" s="19" t="n">
        <v>0.1</v>
      </c>
      <c r="I58" s="20" t="n">
        <f aca="false">E58/F58/(1-H58)</f>
        <v>15.4319444444444</v>
      </c>
      <c r="J58" s="21" t="n">
        <f aca="false">(I58-G58)/G58</f>
        <v>0.111111111111111</v>
      </c>
      <c r="K58" s="18" t="n">
        <f aca="false">I58-G58</f>
        <v>1.54319444444444</v>
      </c>
      <c r="L58" s="22"/>
    </row>
    <row r="59" customFormat="false" ht="15" hidden="false" customHeight="false" outlineLevel="0" collapsed="false">
      <c r="A59" s="23" t="s">
        <v>66</v>
      </c>
      <c r="B59" s="24" t="s">
        <v>74</v>
      </c>
      <c r="C59" s="24" t="s">
        <v>17</v>
      </c>
      <c r="D59" s="23" t="s">
        <v>18</v>
      </c>
      <c r="E59" s="25" t="n">
        <v>116.44</v>
      </c>
      <c r="F59" s="26" t="n">
        <v>10</v>
      </c>
      <c r="G59" s="27" t="n">
        <f aca="false">E59/F59</f>
        <v>11.644</v>
      </c>
      <c r="H59" s="28" t="n">
        <v>0.1</v>
      </c>
      <c r="I59" s="29" t="n">
        <f aca="false">E59/F59/(1-H59)</f>
        <v>12.9377777777778</v>
      </c>
      <c r="J59" s="30" t="n">
        <f aca="false">(I59-G59)/G59</f>
        <v>0.111111111111111</v>
      </c>
      <c r="K59" s="27" t="n">
        <f aca="false">I59-G59</f>
        <v>1.29377777777778</v>
      </c>
      <c r="L59" s="22"/>
    </row>
    <row r="60" customFormat="false" ht="15" hidden="false" customHeight="false" outlineLevel="0" collapsed="false">
      <c r="A60" s="14" t="s">
        <v>66</v>
      </c>
      <c r="B60" s="15" t="s">
        <v>75</v>
      </c>
      <c r="C60" s="15" t="s">
        <v>17</v>
      </c>
      <c r="D60" s="14" t="s">
        <v>21</v>
      </c>
      <c r="E60" s="16" t="n">
        <v>115.44</v>
      </c>
      <c r="F60" s="17" t="n">
        <v>8</v>
      </c>
      <c r="G60" s="18" t="n">
        <f aca="false">E60/F60</f>
        <v>14.43</v>
      </c>
      <c r="H60" s="19" t="n">
        <v>0.1</v>
      </c>
      <c r="I60" s="20" t="n">
        <f aca="false">E60/F60/(1-H60)</f>
        <v>16.0333333333333</v>
      </c>
      <c r="J60" s="21" t="n">
        <f aca="false">(I60-G60)/G60</f>
        <v>0.111111111111111</v>
      </c>
      <c r="K60" s="18" t="n">
        <f aca="false">I60-G60</f>
        <v>1.60333333333333</v>
      </c>
      <c r="L60" s="22"/>
    </row>
    <row r="61" customFormat="false" ht="15" hidden="false" customHeight="false" outlineLevel="0" collapsed="false">
      <c r="A61" s="23" t="s">
        <v>76</v>
      </c>
      <c r="B61" s="24" t="s">
        <v>77</v>
      </c>
      <c r="C61" s="24" t="s">
        <v>17</v>
      </c>
      <c r="D61" s="23" t="s">
        <v>18</v>
      </c>
      <c r="E61" s="25" t="n">
        <v>150.94</v>
      </c>
      <c r="F61" s="26" t="n">
        <v>10</v>
      </c>
      <c r="G61" s="27" t="n">
        <f aca="false">E61/F61</f>
        <v>15.094</v>
      </c>
      <c r="H61" s="28" t="n">
        <v>0.1</v>
      </c>
      <c r="I61" s="29" t="n">
        <f aca="false">E61/F61/(1-H61)</f>
        <v>16.7711111111111</v>
      </c>
      <c r="J61" s="30" t="n">
        <f aca="false">(I61-G61)/G61</f>
        <v>0.111111111111111</v>
      </c>
      <c r="K61" s="27" t="n">
        <f aca="false">I61-G61</f>
        <v>1.67711111111111</v>
      </c>
      <c r="L61" s="22"/>
    </row>
    <row r="62" customFormat="false" ht="15" hidden="false" customHeight="false" outlineLevel="0" collapsed="false">
      <c r="A62" s="14" t="s">
        <v>76</v>
      </c>
      <c r="B62" s="15" t="s">
        <v>78</v>
      </c>
      <c r="C62" s="15" t="s">
        <v>17</v>
      </c>
      <c r="D62" s="14" t="s">
        <v>18</v>
      </c>
      <c r="E62" s="16" t="n">
        <v>145.93</v>
      </c>
      <c r="F62" s="17" t="n">
        <v>10</v>
      </c>
      <c r="G62" s="18" t="n">
        <f aca="false">E62/F62</f>
        <v>14.593</v>
      </c>
      <c r="H62" s="19" t="n">
        <v>0.1</v>
      </c>
      <c r="I62" s="20" t="n">
        <f aca="false">E62/F62/(1-H62)</f>
        <v>16.2144444444444</v>
      </c>
      <c r="J62" s="21" t="n">
        <f aca="false">(I62-G62)/G62</f>
        <v>0.111111111111111</v>
      </c>
      <c r="K62" s="18" t="n">
        <f aca="false">I62-G62</f>
        <v>1.62144444444444</v>
      </c>
      <c r="L62" s="22"/>
    </row>
    <row r="63" customFormat="false" ht="15" hidden="false" customHeight="false" outlineLevel="0" collapsed="false">
      <c r="A63" s="23" t="s">
        <v>76</v>
      </c>
      <c r="B63" s="24" t="s">
        <v>79</v>
      </c>
      <c r="C63" s="24" t="s">
        <v>17</v>
      </c>
      <c r="D63" s="23" t="s">
        <v>21</v>
      </c>
      <c r="E63" s="25" t="n">
        <v>145.93</v>
      </c>
      <c r="F63" s="26" t="n">
        <v>8</v>
      </c>
      <c r="G63" s="27" t="n">
        <f aca="false">E63/F63</f>
        <v>18.24125</v>
      </c>
      <c r="H63" s="28" t="n">
        <v>0.1</v>
      </c>
      <c r="I63" s="29" t="n">
        <f aca="false">E63/F63/(1-H63)</f>
        <v>20.2680555555556</v>
      </c>
      <c r="J63" s="30" t="n">
        <f aca="false">(I63-G63)/G63</f>
        <v>0.111111111111111</v>
      </c>
      <c r="K63" s="27" t="n">
        <f aca="false">I63-G63</f>
        <v>2.02680555555556</v>
      </c>
      <c r="L63" s="22"/>
    </row>
    <row r="64" customFormat="false" ht="15" hidden="false" customHeight="false" outlineLevel="0" collapsed="false">
      <c r="A64" s="14" t="s">
        <v>76</v>
      </c>
      <c r="B64" s="15" t="s">
        <v>80</v>
      </c>
      <c r="C64" s="15" t="s">
        <v>17</v>
      </c>
      <c r="D64" s="14" t="s">
        <v>18</v>
      </c>
      <c r="E64" s="16" t="n">
        <v>145.93</v>
      </c>
      <c r="F64" s="17" t="n">
        <v>10</v>
      </c>
      <c r="G64" s="18" t="n">
        <f aca="false">E64/F64</f>
        <v>14.593</v>
      </c>
      <c r="H64" s="19" t="n">
        <v>0.1</v>
      </c>
      <c r="I64" s="20" t="n">
        <f aca="false">E64/F64/(1-H64)</f>
        <v>16.2144444444444</v>
      </c>
      <c r="J64" s="21" t="n">
        <f aca="false">(I64-G64)/G64</f>
        <v>0.111111111111111</v>
      </c>
      <c r="K64" s="18" t="n">
        <f aca="false">I64-G64</f>
        <v>1.62144444444444</v>
      </c>
      <c r="L64" s="22"/>
    </row>
    <row r="65" customFormat="false" ht="15" hidden="false" customHeight="false" outlineLevel="0" collapsed="false">
      <c r="A65" s="23" t="s">
        <v>76</v>
      </c>
      <c r="B65" s="24" t="s">
        <v>81</v>
      </c>
      <c r="C65" s="24" t="s">
        <v>17</v>
      </c>
      <c r="D65" s="23" t="s">
        <v>18</v>
      </c>
      <c r="E65" s="25" t="n">
        <v>145.93</v>
      </c>
      <c r="F65" s="26" t="n">
        <v>10</v>
      </c>
      <c r="G65" s="27" t="n">
        <f aca="false">E65/F65</f>
        <v>14.593</v>
      </c>
      <c r="H65" s="28" t="n">
        <v>0.1</v>
      </c>
      <c r="I65" s="29" t="n">
        <f aca="false">E65/F65/(1-H65)</f>
        <v>16.2144444444444</v>
      </c>
      <c r="J65" s="30" t="n">
        <f aca="false">(I65-G65)/G65</f>
        <v>0.111111111111111</v>
      </c>
      <c r="K65" s="27" t="n">
        <f aca="false">I65-G65</f>
        <v>1.62144444444444</v>
      </c>
      <c r="L65" s="22"/>
    </row>
    <row r="66" customFormat="false" ht="15" hidden="false" customHeight="false" outlineLevel="0" collapsed="false">
      <c r="A66" s="14" t="s">
        <v>76</v>
      </c>
      <c r="B66" s="15" t="s">
        <v>82</v>
      </c>
      <c r="C66" s="15" t="s">
        <v>17</v>
      </c>
      <c r="D66" s="14" t="s">
        <v>21</v>
      </c>
      <c r="E66" s="16" t="n">
        <v>145.93</v>
      </c>
      <c r="F66" s="17" t="n">
        <v>8</v>
      </c>
      <c r="G66" s="18" t="n">
        <f aca="false">E66/F66</f>
        <v>18.24125</v>
      </c>
      <c r="H66" s="19" t="n">
        <v>0.1</v>
      </c>
      <c r="I66" s="20" t="n">
        <f aca="false">E66/F66/(1-H66)</f>
        <v>20.2680555555556</v>
      </c>
      <c r="J66" s="21" t="n">
        <f aca="false">(I66-G66)/G66</f>
        <v>0.111111111111111</v>
      </c>
      <c r="K66" s="18" t="n">
        <f aca="false">I66-G66</f>
        <v>2.02680555555556</v>
      </c>
      <c r="L66" s="22"/>
    </row>
    <row r="67" customFormat="false" ht="15" hidden="false" customHeight="false" outlineLevel="0" collapsed="false">
      <c r="A67" s="23" t="s">
        <v>76</v>
      </c>
      <c r="B67" s="24" t="s">
        <v>83</v>
      </c>
      <c r="C67" s="24" t="s">
        <v>17</v>
      </c>
      <c r="D67" s="23" t="s">
        <v>18</v>
      </c>
      <c r="E67" s="25" t="n">
        <v>145.93</v>
      </c>
      <c r="F67" s="26" t="n">
        <v>10</v>
      </c>
      <c r="G67" s="27" t="n">
        <f aca="false">E67/F67</f>
        <v>14.593</v>
      </c>
      <c r="H67" s="28" t="n">
        <v>0.1</v>
      </c>
      <c r="I67" s="29" t="n">
        <f aca="false">E67/F67/(1-H67)</f>
        <v>16.2144444444444</v>
      </c>
      <c r="J67" s="30" t="n">
        <f aca="false">(I67-G67)/G67</f>
        <v>0.111111111111111</v>
      </c>
      <c r="K67" s="27" t="n">
        <f aca="false">I67-G67</f>
        <v>1.62144444444444</v>
      </c>
      <c r="L67" s="22"/>
    </row>
    <row r="68" customFormat="false" ht="15" hidden="false" customHeight="false" outlineLevel="0" collapsed="false">
      <c r="A68" s="14" t="s">
        <v>76</v>
      </c>
      <c r="B68" s="15" t="s">
        <v>84</v>
      </c>
      <c r="C68" s="15" t="s">
        <v>17</v>
      </c>
      <c r="D68" s="14" t="s">
        <v>21</v>
      </c>
      <c r="E68" s="16" t="n">
        <v>145.93</v>
      </c>
      <c r="F68" s="17" t="n">
        <v>8</v>
      </c>
      <c r="G68" s="18" t="n">
        <f aca="false">E68/F68</f>
        <v>18.24125</v>
      </c>
      <c r="H68" s="19" t="n">
        <v>0.1</v>
      </c>
      <c r="I68" s="20" t="n">
        <f aca="false">E68/F68/(1-H68)</f>
        <v>20.2680555555556</v>
      </c>
      <c r="J68" s="21" t="n">
        <f aca="false">(I68-G68)/G68</f>
        <v>0.111111111111111</v>
      </c>
      <c r="K68" s="18" t="n">
        <f aca="false">I68-G68</f>
        <v>2.02680555555556</v>
      </c>
      <c r="L68" s="22"/>
    </row>
    <row r="69" customFormat="false" ht="15" hidden="false" customHeight="false" outlineLevel="0" collapsed="false">
      <c r="A69" s="23" t="s">
        <v>76</v>
      </c>
      <c r="B69" s="24" t="s">
        <v>85</v>
      </c>
      <c r="C69" s="24" t="s">
        <v>17</v>
      </c>
      <c r="D69" s="23" t="s">
        <v>21</v>
      </c>
      <c r="E69" s="25" t="n">
        <v>150.94</v>
      </c>
      <c r="F69" s="26" t="n">
        <v>8</v>
      </c>
      <c r="G69" s="27" t="n">
        <f aca="false">E69/F69</f>
        <v>18.8675</v>
      </c>
      <c r="H69" s="28" t="n">
        <v>0.1</v>
      </c>
      <c r="I69" s="29" t="n">
        <f aca="false">E69/F69/(1-H69)</f>
        <v>20.9638888888889</v>
      </c>
      <c r="J69" s="30" t="n">
        <f aca="false">(I69-G69)/G69</f>
        <v>0.111111111111111</v>
      </c>
      <c r="K69" s="27" t="n">
        <f aca="false">I69-G69</f>
        <v>2.09638888888889</v>
      </c>
      <c r="L69" s="22"/>
    </row>
    <row r="70" customFormat="false" ht="15" hidden="false" customHeight="false" outlineLevel="0" collapsed="false">
      <c r="A70" s="14" t="s">
        <v>76</v>
      </c>
      <c r="B70" s="15" t="s">
        <v>86</v>
      </c>
      <c r="C70" s="15" t="s">
        <v>17</v>
      </c>
      <c r="D70" s="14" t="s">
        <v>18</v>
      </c>
      <c r="E70" s="16" t="n">
        <v>114.11</v>
      </c>
      <c r="F70" s="17" t="n">
        <v>10</v>
      </c>
      <c r="G70" s="18" t="n">
        <f aca="false">E70/F70</f>
        <v>11.411</v>
      </c>
      <c r="H70" s="19" t="n">
        <v>0.1</v>
      </c>
      <c r="I70" s="20" t="n">
        <f aca="false">E70/F70/(1-H70)</f>
        <v>12.6788888888889</v>
      </c>
      <c r="J70" s="21" t="n">
        <f aca="false">(I70-G70)/G70</f>
        <v>0.111111111111111</v>
      </c>
      <c r="K70" s="18" t="n">
        <f aca="false">I70-G70</f>
        <v>1.26788888888889</v>
      </c>
      <c r="L70" s="22"/>
    </row>
    <row r="71" customFormat="false" ht="15" hidden="false" customHeight="false" outlineLevel="0" collapsed="false">
      <c r="A71" s="23" t="s">
        <v>76</v>
      </c>
      <c r="B71" s="24" t="s">
        <v>87</v>
      </c>
      <c r="C71" s="24" t="s">
        <v>17</v>
      </c>
      <c r="D71" s="23" t="s">
        <v>21</v>
      </c>
      <c r="E71" s="25" t="n">
        <v>114.11</v>
      </c>
      <c r="F71" s="26" t="n">
        <v>8</v>
      </c>
      <c r="G71" s="27" t="n">
        <f aca="false">E71/F71</f>
        <v>14.26375</v>
      </c>
      <c r="H71" s="28" t="n">
        <v>0.1</v>
      </c>
      <c r="I71" s="29" t="n">
        <f aca="false">E71/F71/(1-H71)</f>
        <v>15.8486111111111</v>
      </c>
      <c r="J71" s="30" t="n">
        <f aca="false">(I71-G71)/G71</f>
        <v>0.111111111111111</v>
      </c>
      <c r="K71" s="27" t="n">
        <f aca="false">I71-G71</f>
        <v>1.58486111111111</v>
      </c>
      <c r="L71" s="22"/>
    </row>
    <row r="72" customFormat="false" ht="15" hidden="false" customHeight="false" outlineLevel="0" collapsed="false">
      <c r="A72" s="14" t="s">
        <v>76</v>
      </c>
      <c r="B72" s="15" t="s">
        <v>88</v>
      </c>
      <c r="C72" s="15" t="s">
        <v>17</v>
      </c>
      <c r="D72" s="14" t="s">
        <v>18</v>
      </c>
      <c r="E72" s="16" t="n">
        <v>114.11</v>
      </c>
      <c r="F72" s="17" t="n">
        <v>10</v>
      </c>
      <c r="G72" s="18" t="n">
        <f aca="false">E72/F72</f>
        <v>11.411</v>
      </c>
      <c r="H72" s="19" t="n">
        <v>0.1</v>
      </c>
      <c r="I72" s="20" t="n">
        <f aca="false">E72/F72/(1-H72)</f>
        <v>12.6788888888889</v>
      </c>
      <c r="J72" s="21" t="n">
        <f aca="false">(I72-G72)/G72</f>
        <v>0.111111111111111</v>
      </c>
      <c r="K72" s="18" t="n">
        <f aca="false">I72-G72</f>
        <v>1.26788888888889</v>
      </c>
      <c r="L72" s="22"/>
    </row>
    <row r="73" customFormat="false" ht="15" hidden="false" customHeight="false" outlineLevel="0" collapsed="false">
      <c r="A73" s="23" t="s">
        <v>76</v>
      </c>
      <c r="B73" s="24" t="s">
        <v>89</v>
      </c>
      <c r="C73" s="24" t="s">
        <v>17</v>
      </c>
      <c r="D73" s="23" t="s">
        <v>18</v>
      </c>
      <c r="E73" s="25" t="n">
        <v>114.11</v>
      </c>
      <c r="F73" s="26" t="n">
        <v>10</v>
      </c>
      <c r="G73" s="27" t="n">
        <f aca="false">E73/F73</f>
        <v>11.411</v>
      </c>
      <c r="H73" s="28" t="n">
        <v>0.1</v>
      </c>
      <c r="I73" s="29" t="n">
        <f aca="false">E73/F73/(1-H73)</f>
        <v>12.6788888888889</v>
      </c>
      <c r="J73" s="30" t="n">
        <f aca="false">(I73-G73)/G73</f>
        <v>0.111111111111111</v>
      </c>
      <c r="K73" s="27" t="n">
        <f aca="false">I73-G73</f>
        <v>1.26788888888889</v>
      </c>
      <c r="L73" s="22"/>
    </row>
    <row r="74" customFormat="false" ht="15" hidden="false" customHeight="false" outlineLevel="0" collapsed="false">
      <c r="A74" s="14" t="s">
        <v>76</v>
      </c>
      <c r="B74" s="15" t="s">
        <v>90</v>
      </c>
      <c r="C74" s="15" t="s">
        <v>17</v>
      </c>
      <c r="D74" s="14" t="s">
        <v>21</v>
      </c>
      <c r="E74" s="16" t="n">
        <v>114.11</v>
      </c>
      <c r="F74" s="17" t="n">
        <v>8</v>
      </c>
      <c r="G74" s="18" t="n">
        <f aca="false">E74/F74</f>
        <v>14.26375</v>
      </c>
      <c r="H74" s="19" t="n">
        <v>0.1</v>
      </c>
      <c r="I74" s="20" t="n">
        <f aca="false">E74/F74/(1-H74)</f>
        <v>15.8486111111111</v>
      </c>
      <c r="J74" s="21" t="n">
        <f aca="false">(I74-G74)/G74</f>
        <v>0.111111111111111</v>
      </c>
      <c r="K74" s="18" t="n">
        <f aca="false">I74-G74</f>
        <v>1.58486111111111</v>
      </c>
      <c r="L74" s="22"/>
    </row>
    <row r="75" customFormat="false" ht="15" hidden="false" customHeight="false" outlineLevel="0" collapsed="false">
      <c r="A75" s="23" t="s">
        <v>76</v>
      </c>
      <c r="B75" s="24" t="s">
        <v>91</v>
      </c>
      <c r="C75" s="24" t="s">
        <v>17</v>
      </c>
      <c r="D75" s="23" t="s">
        <v>21</v>
      </c>
      <c r="E75" s="25" t="n">
        <v>114.11</v>
      </c>
      <c r="F75" s="26" t="n">
        <v>8</v>
      </c>
      <c r="G75" s="27" t="n">
        <f aca="false">E75/F75</f>
        <v>14.26375</v>
      </c>
      <c r="H75" s="28" t="n">
        <v>0.1</v>
      </c>
      <c r="I75" s="29" t="n">
        <f aca="false">E75/F75/(1-H75)</f>
        <v>15.8486111111111</v>
      </c>
      <c r="J75" s="30" t="n">
        <f aca="false">(I75-G75)/G75</f>
        <v>0.111111111111111</v>
      </c>
      <c r="K75" s="27" t="n">
        <f aca="false">I75-G75</f>
        <v>1.58486111111111</v>
      </c>
      <c r="L75" s="22"/>
    </row>
    <row r="76" customFormat="false" ht="15" hidden="false" customHeight="false" outlineLevel="0" collapsed="false">
      <c r="A76" s="14" t="s">
        <v>76</v>
      </c>
      <c r="B76" s="15" t="s">
        <v>92</v>
      </c>
      <c r="C76" s="15" t="s">
        <v>17</v>
      </c>
      <c r="D76" s="14" t="s">
        <v>18</v>
      </c>
      <c r="E76" s="16" t="n">
        <v>114.11</v>
      </c>
      <c r="F76" s="17" t="n">
        <v>10</v>
      </c>
      <c r="G76" s="18" t="n">
        <f aca="false">E76/F76</f>
        <v>11.411</v>
      </c>
      <c r="H76" s="19" t="n">
        <v>0.1</v>
      </c>
      <c r="I76" s="20" t="n">
        <f aca="false">E76/F76/(1-H76)</f>
        <v>12.6788888888889</v>
      </c>
      <c r="J76" s="21" t="n">
        <f aca="false">(I76-G76)/G76</f>
        <v>0.111111111111111</v>
      </c>
      <c r="K76" s="18" t="n">
        <f aca="false">I76-G76</f>
        <v>1.26788888888889</v>
      </c>
      <c r="L76" s="22"/>
    </row>
    <row r="77" customFormat="false" ht="15" hidden="false" customHeight="false" outlineLevel="0" collapsed="false">
      <c r="A77" s="23" t="s">
        <v>76</v>
      </c>
      <c r="B77" s="24" t="s">
        <v>93</v>
      </c>
      <c r="C77" s="24" t="s">
        <v>17</v>
      </c>
      <c r="D77" s="23" t="s">
        <v>21</v>
      </c>
      <c r="E77" s="25" t="n">
        <v>114.11</v>
      </c>
      <c r="F77" s="26" t="n">
        <v>8</v>
      </c>
      <c r="G77" s="27" t="n">
        <f aca="false">E77/F77</f>
        <v>14.26375</v>
      </c>
      <c r="H77" s="28" t="n">
        <v>0.1</v>
      </c>
      <c r="I77" s="29" t="n">
        <f aca="false">E77/F77/(1-H77)</f>
        <v>15.8486111111111</v>
      </c>
      <c r="J77" s="30" t="n">
        <f aca="false">(I77-G77)/G77</f>
        <v>0.111111111111111</v>
      </c>
      <c r="K77" s="27" t="n">
        <f aca="false">I77-G77</f>
        <v>1.58486111111111</v>
      </c>
      <c r="L77" s="22"/>
    </row>
    <row r="78" customFormat="false" ht="18" hidden="false" customHeight="true" outlineLevel="0" collapsed="false">
      <c r="A78" s="4" t="s">
        <v>94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5" hidden="false" customHeight="false" outlineLevel="0" collapsed="false">
      <c r="A79" s="23" t="s">
        <v>76</v>
      </c>
      <c r="B79" s="24" t="s">
        <v>95</v>
      </c>
      <c r="C79" s="24" t="s">
        <v>96</v>
      </c>
      <c r="D79" s="23" t="s">
        <v>97</v>
      </c>
      <c r="E79" s="25" t="n">
        <v>121.62</v>
      </c>
      <c r="F79" s="26" t="n">
        <v>1</v>
      </c>
      <c r="G79" s="27" t="n">
        <f aca="false">E79/F79</f>
        <v>121.62</v>
      </c>
      <c r="H79" s="28" t="n">
        <v>0.12</v>
      </c>
      <c r="I79" s="29" t="n">
        <f aca="false">E79/F79/(1-H79)</f>
        <v>138.204545454545</v>
      </c>
      <c r="J79" s="30" t="n">
        <f aca="false">(I79-G79)/G79</f>
        <v>0.136363636363636</v>
      </c>
      <c r="K79" s="27" t="n">
        <f aca="false">I79-G79</f>
        <v>16.5845454545455</v>
      </c>
      <c r="L79" s="22"/>
    </row>
    <row r="80" customFormat="false" ht="15" hidden="false" customHeight="false" outlineLevel="0" collapsed="false">
      <c r="A80" s="14" t="s">
        <v>76</v>
      </c>
      <c r="B80" s="15" t="s">
        <v>98</v>
      </c>
      <c r="C80" s="15" t="s">
        <v>96</v>
      </c>
      <c r="D80" s="14" t="s">
        <v>97</v>
      </c>
      <c r="E80" s="16" t="n">
        <v>167.82</v>
      </c>
      <c r="F80" s="17" t="n">
        <v>1</v>
      </c>
      <c r="G80" s="18" t="n">
        <f aca="false">E80/F80</f>
        <v>167.82</v>
      </c>
      <c r="H80" s="19" t="n">
        <v>0.12</v>
      </c>
      <c r="I80" s="20" t="n">
        <f aca="false">E80/F80/(1-H80)</f>
        <v>190.704545454545</v>
      </c>
      <c r="J80" s="21" t="n">
        <f aca="false">(I80-G80)/G80</f>
        <v>0.136363636363636</v>
      </c>
      <c r="K80" s="18" t="n">
        <f aca="false">I80-G80</f>
        <v>22.8845454545454</v>
      </c>
      <c r="L80" s="22"/>
    </row>
    <row r="81" customFormat="false" ht="15" hidden="false" customHeight="false" outlineLevel="0" collapsed="false">
      <c r="A81" s="23" t="s">
        <v>76</v>
      </c>
      <c r="B81" s="24" t="s">
        <v>99</v>
      </c>
      <c r="C81" s="24" t="s">
        <v>96</v>
      </c>
      <c r="D81" s="23" t="s">
        <v>97</v>
      </c>
      <c r="E81" s="25" t="n">
        <v>158.4</v>
      </c>
      <c r="F81" s="26" t="n">
        <v>1</v>
      </c>
      <c r="G81" s="27" t="n">
        <f aca="false">E81/F81</f>
        <v>158.4</v>
      </c>
      <c r="H81" s="28" t="n">
        <v>0.12</v>
      </c>
      <c r="I81" s="29" t="n">
        <f aca="false">E81/F81/(1-H81)</f>
        <v>180</v>
      </c>
      <c r="J81" s="30" t="n">
        <f aca="false">(I81-G81)/G81</f>
        <v>0.136363636363636</v>
      </c>
      <c r="K81" s="27" t="n">
        <f aca="false">I81-G81</f>
        <v>21.6</v>
      </c>
      <c r="L81" s="22"/>
    </row>
    <row r="82" customFormat="false" ht="18" hidden="false" customHeight="true" outlineLevel="0" collapsed="false">
      <c r="A82" s="4" t="s">
        <v>100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5" hidden="false" customHeight="false" outlineLevel="0" collapsed="false">
      <c r="A83" s="23" t="s">
        <v>76</v>
      </c>
      <c r="B83" s="24" t="s">
        <v>101</v>
      </c>
      <c r="C83" s="24" t="s">
        <v>102</v>
      </c>
      <c r="D83" s="23" t="s">
        <v>97</v>
      </c>
      <c r="E83" s="25" t="n">
        <v>95.66</v>
      </c>
      <c r="F83" s="26" t="n">
        <v>8</v>
      </c>
      <c r="G83" s="27" t="n">
        <f aca="false">E83/F83</f>
        <v>11.9575</v>
      </c>
      <c r="H83" s="28" t="n">
        <v>0.15</v>
      </c>
      <c r="I83" s="29" t="n">
        <f aca="false">E83/F83/(1-H83)</f>
        <v>14.0676470588235</v>
      </c>
      <c r="J83" s="30" t="n">
        <f aca="false">(I83-G83)/G83</f>
        <v>0.176470588235294</v>
      </c>
      <c r="K83" s="27" t="n">
        <f aca="false">I83-G83</f>
        <v>2.11014705882353</v>
      </c>
      <c r="L83" s="22"/>
    </row>
    <row r="84" customFormat="false" ht="15" hidden="false" customHeight="false" outlineLevel="0" collapsed="false">
      <c r="A84" s="14" t="s">
        <v>76</v>
      </c>
      <c r="B84" s="15" t="s">
        <v>103</v>
      </c>
      <c r="C84" s="15" t="s">
        <v>102</v>
      </c>
      <c r="D84" s="14" t="s">
        <v>97</v>
      </c>
      <c r="E84" s="16" t="n">
        <v>56.46</v>
      </c>
      <c r="F84" s="17" t="n">
        <v>8</v>
      </c>
      <c r="G84" s="18" t="n">
        <f aca="false">E84/F84</f>
        <v>7.0575</v>
      </c>
      <c r="H84" s="19" t="n">
        <v>0.15</v>
      </c>
      <c r="I84" s="20" t="n">
        <f aca="false">E84/F84/(1-H84)</f>
        <v>8.30294117647059</v>
      </c>
      <c r="J84" s="21" t="n">
        <f aca="false">(I84-G84)/G84</f>
        <v>0.176470588235294</v>
      </c>
      <c r="K84" s="18" t="n">
        <f aca="false">I84-G84</f>
        <v>1.24544117647059</v>
      </c>
      <c r="L84" s="22"/>
    </row>
    <row r="85" customFormat="false" ht="15" hidden="false" customHeight="false" outlineLevel="0" collapsed="false">
      <c r="A85" s="23" t="s">
        <v>76</v>
      </c>
      <c r="B85" s="24" t="s">
        <v>104</v>
      </c>
      <c r="C85" s="24" t="s">
        <v>102</v>
      </c>
      <c r="D85" s="23" t="s">
        <v>97</v>
      </c>
      <c r="E85" s="25" t="n">
        <v>56.46</v>
      </c>
      <c r="F85" s="26" t="n">
        <v>8</v>
      </c>
      <c r="G85" s="27" t="n">
        <f aca="false">E85/F85</f>
        <v>7.0575</v>
      </c>
      <c r="H85" s="28" t="n">
        <v>0.15</v>
      </c>
      <c r="I85" s="29" t="n">
        <f aca="false">E85/F85/(1-H85)</f>
        <v>8.30294117647059</v>
      </c>
      <c r="J85" s="30" t="n">
        <f aca="false">(I85-G85)/G85</f>
        <v>0.176470588235294</v>
      </c>
      <c r="K85" s="27" t="n">
        <f aca="false">I85-G85</f>
        <v>1.24544117647059</v>
      </c>
      <c r="L85" s="22"/>
    </row>
    <row r="86" customFormat="false" ht="15" hidden="false" customHeight="false" outlineLevel="0" collapsed="false">
      <c r="A86" s="14" t="s">
        <v>76</v>
      </c>
      <c r="B86" s="15" t="s">
        <v>105</v>
      </c>
      <c r="C86" s="15" t="s">
        <v>102</v>
      </c>
      <c r="D86" s="14" t="s">
        <v>97</v>
      </c>
      <c r="E86" s="16" t="n">
        <v>73.86</v>
      </c>
      <c r="F86" s="17" t="n">
        <v>8</v>
      </c>
      <c r="G86" s="18" t="n">
        <f aca="false">E86/F86</f>
        <v>9.2325</v>
      </c>
      <c r="H86" s="19" t="n">
        <v>0.15</v>
      </c>
      <c r="I86" s="20" t="n">
        <f aca="false">E86/F86/(1-H86)</f>
        <v>10.8617647058824</v>
      </c>
      <c r="J86" s="21" t="n">
        <f aca="false">(I86-G86)/G86</f>
        <v>0.176470588235294</v>
      </c>
      <c r="K86" s="18" t="n">
        <f aca="false">I86-G86</f>
        <v>1.62926470588235</v>
      </c>
      <c r="L86" s="22"/>
    </row>
    <row r="87" customFormat="false" ht="18" hidden="false" customHeight="true" outlineLevel="0" collapsed="false">
      <c r="A87" s="4" t="s">
        <v>106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5" hidden="false" customHeight="false" outlineLevel="0" collapsed="false">
      <c r="A88" s="14" t="s">
        <v>76</v>
      </c>
      <c r="B88" s="15" t="s">
        <v>107</v>
      </c>
      <c r="C88" s="15" t="s">
        <v>108</v>
      </c>
      <c r="D88" s="14" t="s">
        <v>97</v>
      </c>
      <c r="E88" s="16" t="n">
        <v>82.96</v>
      </c>
      <c r="F88" s="17" t="n">
        <v>1</v>
      </c>
      <c r="G88" s="18" t="n">
        <f aca="false">E88/F88</f>
        <v>82.96</v>
      </c>
      <c r="H88" s="19" t="n">
        <v>0.2</v>
      </c>
      <c r="I88" s="20" t="n">
        <f aca="false">E88/F88/(1-H88)</f>
        <v>103.7</v>
      </c>
      <c r="J88" s="21" t="n">
        <f aca="false">(I88-G88)/G88</f>
        <v>0.25</v>
      </c>
      <c r="K88" s="18" t="n">
        <f aca="false">I88-G88</f>
        <v>20.74</v>
      </c>
      <c r="L88" s="22"/>
    </row>
    <row r="90" customFormat="false" ht="15" hidden="false" customHeight="false" outlineLevel="0" collapsed="false">
      <c r="A90" s="31" t="s">
        <v>109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</row>
    <row r="91" customFormat="false" ht="25.5" hidden="false" customHeight="true" outlineLevel="0" collapsed="false">
      <c r="A91" s="32" t="s">
        <v>110</v>
      </c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</row>
    <row r="92" customFormat="false" ht="25.5" hidden="false" customHeight="true" outlineLevel="0" collapsed="false">
      <c r="A92" s="32" t="s">
        <v>111</v>
      </c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</row>
    <row r="93" customFormat="false" ht="25.5" hidden="false" customHeight="true" outlineLevel="0" collapsed="false">
      <c r="A93" s="32" t="s">
        <v>112</v>
      </c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</row>
    <row r="94" customFormat="false" ht="25.5" hidden="false" customHeight="true" outlineLevel="0" collapsed="false">
      <c r="A94" s="32" t="s">
        <v>113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</row>
    <row r="95" customFormat="false" ht="25.5" hidden="false" customHeight="true" outlineLevel="0" collapsed="false">
      <c r="A95" s="32" t="s">
        <v>114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</row>
  </sheetData>
  <mergeCells count="12">
    <mergeCell ref="A1:L1"/>
    <mergeCell ref="A2:L2"/>
    <mergeCell ref="A5:L5"/>
    <mergeCell ref="A78:L78"/>
    <mergeCell ref="A82:L82"/>
    <mergeCell ref="A87:L87"/>
    <mergeCell ref="A90:L90"/>
    <mergeCell ref="A91:L91"/>
    <mergeCell ref="A92:L92"/>
    <mergeCell ref="A93:L93"/>
    <mergeCell ref="A94:L94"/>
    <mergeCell ref="A95:L9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2026-06-24T23:21:46Z</dcterms:created>
  <dc:creator>openpyxl</dc:creator>
  <dc:description/>
  <dc:language>en-US</dc:language>
  <cp:lastModifiedBy/>
  <dcterms:modified xsi:type="dcterms:W3CDTF">2026-06-24T23:21:47Z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