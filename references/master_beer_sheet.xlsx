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Beer Shee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Z1mVkcSCTdiI3ajRzX3HdySwK+fgSndV94CczS+wynY="/>
    </ext>
  </extLst>
</workbook>
</file>

<file path=xl/sharedStrings.xml><?xml version="1.0" encoding="utf-8"?>
<sst xmlns="http://schemas.openxmlformats.org/spreadsheetml/2006/main" count="430" uniqueCount="165">
  <si>
    <t>SCARBRO MART — MASTER BEER PRICING SHEET</t>
  </si>
  <si>
    <t>Each beer listed as its pack AND as a single • Cost from LCBO invoices • LCBO Case Price (from invoice) is the base — edit it and everything recalculates • Sell = Cost/(1−Margin)+deposit</t>
  </si>
  <si>
    <t>Product</t>
  </si>
  <si>
    <t>Sell Unit</t>
  </si>
  <si>
    <t>Category</t>
  </si>
  <si>
    <t>SKU</t>
  </si>
  <si>
    <t>LCBO Case Price ($)</t>
  </si>
  <si>
    <t>Units/Case</t>
  </si>
  <si>
    <t>Packs/Case</t>
  </si>
  <si>
    <t>Cost ($)</t>
  </si>
  <si>
    <t>Deposit ($)</t>
  </si>
  <si>
    <t>Margin %</t>
  </si>
  <si>
    <t>Sell Price ($)</t>
  </si>
  <si>
    <t>Profit ($)</t>
  </si>
  <si>
    <t>Store Update</t>
  </si>
  <si>
    <t>BEER</t>
  </si>
  <si>
    <t>Corona Extra 473Ml +</t>
  </si>
  <si>
    <t>Single</t>
  </si>
  <si>
    <t>Beer</t>
  </si>
  <si>
    <t>17853</t>
  </si>
  <si>
    <t>$24.00</t>
  </si>
  <si>
    <t>Muskoka Mad Tom Ipa 473Ml</t>
  </si>
  <si>
    <t>288837</t>
  </si>
  <si>
    <t>Rickard'S Red</t>
  </si>
  <si>
    <t>16907</t>
  </si>
  <si>
    <t>Stella Artois 6-Pk Tc</t>
  </si>
  <si>
    <t>17819</t>
  </si>
  <si>
    <t>$4.00</t>
  </si>
  <si>
    <t>6-Pack</t>
  </si>
  <si>
    <t>Corona Extra 6Pk Tc+</t>
  </si>
  <si>
    <t>17817</t>
  </si>
  <si>
    <t>Steam Whistle Can-473</t>
  </si>
  <si>
    <t>492009</t>
  </si>
  <si>
    <t>Heineken 6 Pk Tc+</t>
  </si>
  <si>
    <t>302810</t>
  </si>
  <si>
    <t>Labatt Maximum Ice</t>
  </si>
  <si>
    <t>691683</t>
  </si>
  <si>
    <t>Bud Light 6X473</t>
  </si>
  <si>
    <t>311779</t>
  </si>
  <si>
    <t>Moosehead Lager 6-Pk-Tc</t>
  </si>
  <si>
    <t>422345</t>
  </si>
  <si>
    <t>Molson Canadian 6 Pk-Tc</t>
  </si>
  <si>
    <t>300699</t>
  </si>
  <si>
    <t>Budweiser 6X473</t>
  </si>
  <si>
    <t>311787</t>
  </si>
  <si>
    <t>Carling Ice</t>
  </si>
  <si>
    <t>177717</t>
  </si>
  <si>
    <t>Laker Red</t>
  </si>
  <si>
    <t>382291</t>
  </si>
  <si>
    <t>Carling lager 6-Pk-Can+</t>
  </si>
  <si>
    <t>488411</t>
  </si>
  <si>
    <t>Pabst Blue Ribbon 5.9% 6Tc+</t>
  </si>
  <si>
    <t>36809</t>
  </si>
  <si>
    <t>Busch Ice 6 Pk-Tc</t>
  </si>
  <si>
    <t>15256</t>
  </si>
  <si>
    <t>Labatt Blue 6Pk-Tc</t>
  </si>
  <si>
    <t>15258</t>
  </si>
  <si>
    <t>Lowenbrau 6X473</t>
  </si>
  <si>
    <t>38600</t>
  </si>
  <si>
    <t>4</t>
  </si>
  <si>
    <t>Dab Original 6Pk-Tc+</t>
  </si>
  <si>
    <t>666875</t>
  </si>
  <si>
    <t>Old Milwaukee</t>
  </si>
  <si>
    <t>15402</t>
  </si>
  <si>
    <t>Old Milwaukee Ice 6Pk-Tc</t>
  </si>
  <si>
    <t>15400</t>
  </si>
  <si>
    <t>Laker Lager 6X473Ml</t>
  </si>
  <si>
    <t>32741</t>
  </si>
  <si>
    <t>Heineken 24 Pk-B+</t>
  </si>
  <si>
    <t>300020</t>
  </si>
  <si>
    <t>$1.00</t>
  </si>
  <si>
    <t>Heineken 330ml bottle</t>
  </si>
  <si>
    <t>Laker Ice 6X473</t>
  </si>
  <si>
    <t>26620</t>
  </si>
  <si>
    <t>Molson Dry 710Ml</t>
  </si>
  <si>
    <t>922682</t>
  </si>
  <si>
    <t>$12.00</t>
  </si>
  <si>
    <t>Busch Bullet</t>
  </si>
  <si>
    <t>4-Pack</t>
  </si>
  <si>
    <t>40771</t>
  </si>
  <si>
    <t>$6.00</t>
  </si>
  <si>
    <t>Guinness Draught Stout</t>
  </si>
  <si>
    <t>Sapporo Premium Beer</t>
  </si>
  <si>
    <t>Fax Amber</t>
  </si>
  <si>
    <t>Coors Light</t>
  </si>
  <si>
    <t>Coors Seltzer Slushie Green Apple</t>
  </si>
  <si>
    <t>Tiger Lager</t>
  </si>
  <si>
    <t>Red Stripe Lager</t>
  </si>
  <si>
    <t>COOLER/RTD</t>
  </si>
  <si>
    <t>Jameson Whiskey Lemonade</t>
  </si>
  <si>
    <t>Cooler/RTD</t>
  </si>
  <si>
    <t>36576</t>
  </si>
  <si>
    <t>White Claw Blackberry</t>
  </si>
  <si>
    <t>31284</t>
  </si>
  <si>
    <t>24</t>
  </si>
  <si>
    <t>White Claw Hard Seltzer Mango</t>
  </si>
  <si>
    <t>14487</t>
  </si>
  <si>
    <t>White Claw Hard Seltzer Natural Lime</t>
  </si>
  <si>
    <t>14488</t>
  </si>
  <si>
    <t>Mike'S Harder 7% Strawberry</t>
  </si>
  <si>
    <t>48811</t>
  </si>
  <si>
    <t>Mikes Harder Lemonade</t>
  </si>
  <si>
    <t>36697</t>
  </si>
  <si>
    <t>Twisted Tea Original</t>
  </si>
  <si>
    <t>570283</t>
  </si>
  <si>
    <t>Twisted Tea Extreme Blue Razz</t>
  </si>
  <si>
    <t>Twisted Tea Extreme Lemon</t>
  </si>
  <si>
    <t>Black Fly Tequila Sunrise Cocktail In A</t>
  </si>
  <si>
    <t>31250</t>
  </si>
  <si>
    <t>Black Fly Vodka Crushed Black Cherry</t>
  </si>
  <si>
    <t>36648</t>
  </si>
  <si>
    <t>Black Fly Vodka Crushed Orange</t>
  </si>
  <si>
    <t>553578</t>
  </si>
  <si>
    <t>Arizona Hard Green Tea</t>
  </si>
  <si>
    <t>14484</t>
  </si>
  <si>
    <t>Smirnoff Ice Tall Can</t>
  </si>
  <si>
    <t>449157</t>
  </si>
  <si>
    <t>Black Fly Vodka Cranberry 4 Pk-Pet</t>
  </si>
  <si>
    <t>612713</t>
  </si>
  <si>
    <t>6</t>
  </si>
  <si>
    <t>Molson Cold Shot Max 7.1%</t>
  </si>
  <si>
    <t>48415</t>
  </si>
  <si>
    <t>Black Fly Vodka Sour Raspberry</t>
  </si>
  <si>
    <t>448613</t>
  </si>
  <si>
    <t>Captain Morgan Mango Mai Tai</t>
  </si>
  <si>
    <t>31311</t>
  </si>
  <si>
    <t>Molson Cold Shots 4X222-C</t>
  </si>
  <si>
    <t>17488</t>
  </si>
  <si>
    <t>Sun Cruiser Classic Iced Tea</t>
  </si>
  <si>
    <t>Rev PET</t>
  </si>
  <si>
    <t>Crown Royal Whisky &amp; Cola</t>
  </si>
  <si>
    <t>Cottage Springs Punched Up Pink Lemonade</t>
  </si>
  <si>
    <t>Flying Monkeys Velvet Bubble Lord Blueberry Sour</t>
  </si>
  <si>
    <t>White Claw Surge Passion Fruit</t>
  </si>
  <si>
    <t>White Claw Surge Blood Orange</t>
  </si>
  <si>
    <t>CIDER</t>
  </si>
  <si>
    <t>Somersby Apple Cider 473Ml</t>
  </si>
  <si>
    <t>Cider</t>
  </si>
  <si>
    <t>15563</t>
  </si>
  <si>
    <t>WINE</t>
  </si>
  <si>
    <t>Bask Crisp Rose</t>
  </si>
  <si>
    <t>Wine</t>
  </si>
  <si>
    <t>16778</t>
  </si>
  <si>
    <t>12</t>
  </si>
  <si>
    <t>Honest Lot Cabernet Sauvignon</t>
  </si>
  <si>
    <t>21442</t>
  </si>
  <si>
    <t>Jackson-Triggs Cabernet Sauvignon</t>
  </si>
  <si>
    <t>328534</t>
  </si>
  <si>
    <t>Bodacious Smooth Red</t>
  </si>
  <si>
    <t>338855</t>
  </si>
  <si>
    <t>AVERAGE MARGIN</t>
  </si>
  <si>
    <t>LEGEND</t>
  </si>
  <si>
    <t>Blue text</t>
  </si>
  <si>
    <t>Editable input — LCBO case price drives all costs</t>
  </si>
  <si>
    <t>Yellow cell</t>
  </si>
  <si>
    <t>Editable — change Margin % to reprice</t>
  </si>
  <si>
    <t>Green text</t>
  </si>
  <si>
    <t>Calculated sell price</t>
  </si>
  <si>
    <t>Green row</t>
  </si>
  <si>
    <t>Pack row (sold as a multipack)</t>
  </si>
  <si>
    <t>Each multipack appears twice: one Pack row (green) and one Single row, so you can price both ways without duplicate data clutter.</t>
  </si>
  <si>
    <t>LCBO Case Price (blue) = exact invoice amount and is the base of everything — change it and all costs/prices recalculate.</t>
  </si>
  <si>
    <t>Cost: single = Case Price / Units-per-Case;  pack = Case Price / Packs-per-Case.  Sell = Cost/(1−Margin)+Deposit.</t>
  </si>
  <si>
    <t>Units/Case = total cans/bottles in a full case (24 beer/cooler, 12 wine) — same for both pack &amp; single rows of a product.</t>
  </si>
  <si>
    <t>3 newer SKUs absent from the Sep-2024 catalog had pack structure inferred from format.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</si>
</sst>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0.0%"/>
  </numFmts>
  <fonts count="19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1.0"/>
      <color theme="1"/>
      <name val="Calibri"/>
    </font>
    <font>
      <i/>
      <sz val="9.0"/>
      <color rgb="FF404040"/>
      <name val="Arial"/>
    </font>
    <font>
      <b/>
      <color rgb="FFFFFFFF"/>
      <name val="Arial"/>
    </font>
    <font>
      <b/>
      <sz val="11.0"/>
      <color rgb="FFFFFFFF"/>
      <name val="Arial"/>
    </font>
    <font>
      <color theme="1"/>
      <name val="Arial"/>
    </font>
    <font>
      <color rgb="FF0000FF"/>
      <name val="Arial"/>
    </font>
    <font>
      <b/>
      <color rgb="FF0000FF"/>
      <name val="Arial"/>
    </font>
    <font>
      <b/>
      <color rgb="FF375623"/>
      <name val="Arial"/>
    </font>
    <font>
      <b/>
      <color theme="1"/>
      <name val="Arial"/>
    </font>
    <font>
      <sz val="11.0"/>
      <color rgb="FF5F5F5F"/>
      <name val="Acumin-pro"/>
    </font>
    <font>
      <sz val="11.0"/>
      <color rgb="FF5F5F5F"/>
      <name val="Arial"/>
    </font>
    <font>
      <b/>
      <sz val="9.0"/>
      <color theme="1"/>
      <name val="Arial"/>
    </font>
    <font>
      <b/>
      <sz val="9.0"/>
      <color rgb="FF0000FF"/>
      <name val="Arial"/>
    </font>
    <font>
      <sz val="9.0"/>
      <color rgb="FF404040"/>
      <name val="Arial"/>
    </font>
    <font>
      <b/>
      <sz val="9.0"/>
      <color rgb="FF375623"/>
      <name val="Arial"/>
    </font>
    <font>
      <i/>
      <sz val="8.0"/>
      <color rgb="FF80808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2F5496"/>
        <bgColor rgb="FF2F5496"/>
      </patternFill>
    </fill>
    <fill>
      <patternFill patternType="solid">
        <fgColor rgb="FFF2F6FC"/>
        <bgColor rgb="FFF2F6FC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horizontal="center"/>
    </xf>
    <xf borderId="0" fillId="0" fontId="3" numFmtId="49" xfId="0" applyAlignment="1" applyFont="1" applyNumberFormat="1">
      <alignment vertical="bottom"/>
    </xf>
    <xf borderId="4" fillId="4" fontId="5" numFmtId="0" xfId="0" applyAlignment="1" applyBorder="1" applyFill="1" applyFont="1">
      <alignment horizontal="center" shrinkToFit="0" wrapText="1"/>
    </xf>
    <xf borderId="4" fillId="4" fontId="5" numFmtId="49" xfId="0" applyAlignment="1" applyBorder="1" applyFont="1" applyNumberFormat="1">
      <alignment horizontal="center" shrinkToFit="0" wrapText="1"/>
    </xf>
    <xf borderId="4" fillId="4" fontId="5" numFmtId="0" xfId="0" applyAlignment="1" applyBorder="1" applyFont="1">
      <alignment horizontal="center" shrinkToFit="0" wrapText="1"/>
    </xf>
    <xf borderId="0" fillId="4" fontId="5" numFmtId="0" xfId="0" applyAlignment="1" applyFont="1">
      <alignment horizontal="center" readingOrder="0" shrinkToFit="0" wrapText="1"/>
    </xf>
    <xf borderId="5" fillId="2" fontId="6" numFmtId="0" xfId="0" applyBorder="1" applyFont="1"/>
    <xf borderId="6" fillId="0" fontId="2" numFmtId="0" xfId="0" applyBorder="1" applyFont="1"/>
    <xf borderId="7" fillId="0" fontId="2" numFmtId="0" xfId="0" applyBorder="1" applyFont="1"/>
    <xf borderId="0" fillId="2" fontId="6" numFmtId="0" xfId="0" applyFont="1"/>
    <xf borderId="4" fillId="5" fontId="7" numFmtId="0" xfId="0" applyAlignment="1" applyBorder="1" applyFill="1" applyFont="1">
      <alignment shrinkToFit="0" wrapText="1"/>
    </xf>
    <xf borderId="4" fillId="5" fontId="7" numFmtId="0" xfId="0" applyAlignment="1" applyBorder="1" applyFont="1">
      <alignment horizontal="center"/>
    </xf>
    <xf borderId="4" fillId="5" fontId="8" numFmtId="164" xfId="0" applyAlignment="1" applyBorder="1" applyFont="1" applyNumberFormat="1">
      <alignment horizontal="center"/>
    </xf>
    <xf borderId="4" fillId="5" fontId="7" numFmtId="49" xfId="0" applyAlignment="1" applyBorder="1" applyFont="1" applyNumberFormat="1">
      <alignment horizontal="center"/>
    </xf>
    <xf borderId="4" fillId="5" fontId="7" numFmtId="164" xfId="0" applyAlignment="1" applyBorder="1" applyFont="1" applyNumberFormat="1">
      <alignment horizontal="center"/>
    </xf>
    <xf borderId="4" fillId="6" fontId="9" numFmtId="165" xfId="0" applyAlignment="1" applyBorder="1" applyFill="1" applyFont="1" applyNumberFormat="1">
      <alignment horizontal="center" readingOrder="0"/>
    </xf>
    <xf borderId="4" fillId="5" fontId="10" numFmtId="164" xfId="0" applyAlignment="1" applyBorder="1" applyFont="1" applyNumberFormat="1">
      <alignment horizontal="center"/>
    </xf>
    <xf borderId="0" fillId="7" fontId="7" numFmtId="164" xfId="0" applyAlignment="1" applyFill="1" applyFont="1" applyNumberFormat="1">
      <alignment horizontal="center"/>
    </xf>
    <xf borderId="4" fillId="0" fontId="7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/>
    </xf>
    <xf borderId="4" fillId="0" fontId="8" numFmtId="164" xfId="0" applyAlignment="1" applyBorder="1" applyFont="1" applyNumberFormat="1">
      <alignment horizontal="center"/>
    </xf>
    <xf borderId="4" fillId="0" fontId="7" numFmtId="49" xfId="0" applyAlignment="1" applyBorder="1" applyFont="1" applyNumberFormat="1">
      <alignment horizontal="center"/>
    </xf>
    <xf borderId="4" fillId="0" fontId="7" numFmtId="164" xfId="0" applyAlignment="1" applyBorder="1" applyFont="1" applyNumberFormat="1">
      <alignment horizontal="center"/>
    </xf>
    <xf borderId="4" fillId="0" fontId="10" numFmtId="164" xfId="0" applyAlignment="1" applyBorder="1" applyFont="1" applyNumberFormat="1">
      <alignment horizontal="center"/>
    </xf>
    <xf borderId="4" fillId="0" fontId="7" numFmtId="0" xfId="0" applyAlignment="1" applyBorder="1" applyFont="1">
      <alignment horizontal="center"/>
    </xf>
    <xf borderId="4" fillId="8" fontId="7" numFmtId="0" xfId="0" applyAlignment="1" applyBorder="1" applyFill="1" applyFont="1">
      <alignment shrinkToFit="0" wrapText="1"/>
    </xf>
    <xf borderId="4" fillId="8" fontId="11" numFmtId="0" xfId="0" applyAlignment="1" applyBorder="1" applyFont="1">
      <alignment horizontal="center"/>
    </xf>
    <xf borderId="4" fillId="8" fontId="7" numFmtId="0" xfId="0" applyAlignment="1" applyBorder="1" applyFont="1">
      <alignment horizontal="center"/>
    </xf>
    <xf borderId="4" fillId="8" fontId="8" numFmtId="164" xfId="0" applyAlignment="1" applyBorder="1" applyFont="1" applyNumberFormat="1">
      <alignment horizontal="center"/>
    </xf>
    <xf borderId="4" fillId="8" fontId="7" numFmtId="0" xfId="0" applyAlignment="1" applyBorder="1" applyFont="1">
      <alignment horizontal="center"/>
    </xf>
    <xf borderId="4" fillId="8" fontId="7" numFmtId="49" xfId="0" applyAlignment="1" applyBorder="1" applyFont="1" applyNumberFormat="1">
      <alignment horizontal="center"/>
    </xf>
    <xf borderId="4" fillId="8" fontId="7" numFmtId="164" xfId="0" applyAlignment="1" applyBorder="1" applyFont="1" applyNumberFormat="1">
      <alignment horizontal="center"/>
    </xf>
    <xf borderId="4" fillId="8" fontId="10" numFmtId="164" xfId="0" applyAlignment="1" applyBorder="1" applyFont="1" applyNumberFormat="1">
      <alignment horizontal="center"/>
    </xf>
    <xf borderId="0" fillId="9" fontId="7" numFmtId="164" xfId="0" applyAlignment="1" applyFill="1" applyFont="1" applyNumberFormat="1">
      <alignment horizontal="center"/>
    </xf>
    <xf borderId="4" fillId="5" fontId="7" numFmtId="0" xfId="0" applyAlignment="1" applyBorder="1" applyFont="1">
      <alignment horizontal="center"/>
    </xf>
    <xf borderId="4" fillId="6" fontId="9" numFmtId="10" xfId="0" applyAlignment="1" applyBorder="1" applyFont="1" applyNumberFormat="1">
      <alignment horizontal="center" readingOrder="0"/>
    </xf>
    <xf borderId="4" fillId="5" fontId="7" numFmtId="0" xfId="0" applyAlignment="1" applyBorder="1" applyFont="1">
      <alignment readingOrder="0" shrinkToFit="0" wrapText="1"/>
    </xf>
    <xf borderId="4" fillId="8" fontId="7" numFmtId="0" xfId="0" applyAlignment="1" applyBorder="1" applyFont="1">
      <alignment readingOrder="0" shrinkToFit="0" wrapText="1"/>
    </xf>
    <xf borderId="4" fillId="8" fontId="7" numFmtId="0" xfId="0" applyAlignment="1" applyBorder="1" applyFont="1">
      <alignment horizontal="center" readingOrder="0"/>
    </xf>
    <xf borderId="4" fillId="8" fontId="8" numFmtId="164" xfId="0" applyAlignment="1" applyBorder="1" applyFont="1" applyNumberFormat="1">
      <alignment horizontal="center" readingOrder="0"/>
    </xf>
    <xf borderId="4" fillId="8" fontId="11" numFmtId="0" xfId="0" applyAlignment="1" applyBorder="1" applyFont="1">
      <alignment horizontal="center" readingOrder="0"/>
    </xf>
    <xf borderId="0" fillId="10" fontId="12" numFmtId="0" xfId="0" applyAlignment="1" applyFill="1" applyFont="1">
      <alignment horizontal="right" readingOrder="0"/>
    </xf>
    <xf borderId="4" fillId="8" fontId="7" numFmtId="49" xfId="0" applyAlignment="1" applyBorder="1" applyFont="1" applyNumberFormat="1">
      <alignment horizontal="center" readingOrder="0"/>
    </xf>
    <xf borderId="0" fillId="10" fontId="13" numFmtId="0" xfId="0" applyAlignment="1" applyFont="1">
      <alignment horizontal="right" readingOrder="0"/>
    </xf>
    <xf borderId="4" fillId="5" fontId="7" numFmtId="164" xfId="0" applyAlignment="1" applyBorder="1" applyFont="1" applyNumberFormat="1">
      <alignment horizontal="center" readingOrder="0"/>
    </xf>
    <xf borderId="0" fillId="5" fontId="7" numFmtId="164" xfId="0" applyAlignment="1" applyFont="1" applyNumberFormat="1">
      <alignment horizontal="center"/>
    </xf>
    <xf borderId="4" fillId="5" fontId="7" numFmtId="0" xfId="0" applyAlignment="1" applyBorder="1" applyFont="1">
      <alignment horizontal="center" readingOrder="0"/>
    </xf>
    <xf borderId="4" fillId="5" fontId="7" numFmtId="0" xfId="0" applyAlignment="1" applyBorder="1" applyFont="1">
      <alignment shrinkToFit="0" wrapText="1"/>
    </xf>
    <xf borderId="4" fillId="5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0" fillId="11" fontId="7" numFmtId="164" xfId="0" applyAlignment="1" applyFill="1" applyFont="1" applyNumberFormat="1">
      <alignment horizontal="center"/>
    </xf>
    <xf borderId="0" fillId="8" fontId="7" numFmtId="164" xfId="0" applyAlignment="1" applyFont="1" applyNumberFormat="1">
      <alignment horizontal="center"/>
    </xf>
    <xf borderId="5" fillId="2" fontId="6" numFmtId="0" xfId="0" applyBorder="1" applyFont="1"/>
    <xf borderId="0" fillId="2" fontId="6" numFmtId="0" xfId="0" applyFont="1"/>
    <xf borderId="4" fillId="0" fontId="7" numFmtId="0" xfId="0" applyAlignment="1" applyBorder="1" applyFont="1">
      <alignment shrinkToFit="0" wrapText="1"/>
    </xf>
    <xf borderId="0" fillId="0" fontId="7" numFmtId="164" xfId="0" applyAlignment="1" applyFont="1" applyNumberFormat="1">
      <alignment horizontal="center"/>
    </xf>
    <xf borderId="5" fillId="3" fontId="11" numFmtId="0" xfId="0" applyAlignment="1" applyBorder="1" applyFont="1">
      <alignment horizontal="right"/>
    </xf>
    <xf borderId="4" fillId="3" fontId="10" numFmtId="165" xfId="0" applyAlignment="1" applyBorder="1" applyFont="1" applyNumberFormat="1">
      <alignment horizontal="center"/>
    </xf>
    <xf borderId="4" fillId="3" fontId="3" numFmtId="0" xfId="0" applyAlignment="1" applyBorder="1" applyFont="1">
      <alignment vertical="bottom"/>
    </xf>
    <xf borderId="0" fillId="3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8" fillId="6" fontId="14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8" fillId="8" fontId="14" numFmtId="0" xfId="0" applyAlignment="1" applyBorder="1" applyFont="1">
      <alignment vertical="bottom"/>
    </xf>
    <xf borderId="0" fillId="0" fontId="1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12.0"/>
    <col customWidth="1" min="3" max="3" width="11.0"/>
    <col customWidth="1" min="4" max="4" width="12.0"/>
    <col customWidth="1" min="5" max="5" width="11.86"/>
    <col customWidth="1" min="6" max="6" width="11.0"/>
    <col customWidth="1" min="7" max="7" width="13.0"/>
    <col customWidth="1" min="8" max="8" width="12.0"/>
    <col customWidth="1" min="9" max="9" width="9.0"/>
    <col customWidth="1" min="10" max="10" width="16.0"/>
    <col customWidth="1" min="11" max="11" width="13.0"/>
    <col customWidth="1" min="12" max="12" width="8.71"/>
    <col customWidth="1" min="13" max="13" width="14.14"/>
    <col customWidth="1" min="14" max="27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 t="s">
        <v>1</v>
      </c>
      <c r="B2" s="2"/>
      <c r="C2" s="2"/>
      <c r="D2" s="2"/>
      <c r="E2" s="2"/>
      <c r="F2" s="2"/>
      <c r="G2" s="2"/>
      <c r="H2" s="2"/>
      <c r="I2" s="2"/>
      <c r="J2" s="3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5"/>
      <c r="B3" s="5"/>
      <c r="C3" s="5"/>
      <c r="D3" s="5"/>
      <c r="E3" s="5"/>
      <c r="F3" s="5"/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33.75" customHeight="1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9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10" t="s">
        <v>13</v>
      </c>
      <c r="M4" s="11" t="s">
        <v>14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8.75" customHeight="1">
      <c r="A5" s="12" t="s">
        <v>15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4"/>
      <c r="M5" s="1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6" t="s">
        <v>16</v>
      </c>
      <c r="B6" s="17" t="s">
        <v>17</v>
      </c>
      <c r="C6" s="17" t="s">
        <v>18</v>
      </c>
      <c r="D6" s="17" t="s">
        <v>19</v>
      </c>
      <c r="E6" s="18">
        <v>73.68</v>
      </c>
      <c r="F6" s="17">
        <v>24.0</v>
      </c>
      <c r="G6" s="19" t="s">
        <v>20</v>
      </c>
      <c r="H6" s="20">
        <f t="shared" ref="H6:H9" si="1">E6/F6</f>
        <v>3.07</v>
      </c>
      <c r="I6" s="20">
        <f t="shared" ref="I6:I9" si="2">0.1*1</f>
        <v>0.1</v>
      </c>
      <c r="J6" s="21">
        <v>0.2108</v>
      </c>
      <c r="K6" s="22">
        <f t="shared" ref="K6:K57" si="3">IF(J6&gt;=1,"",H6/(1-J6)+I6)</f>
        <v>3.990015205</v>
      </c>
      <c r="L6" s="20">
        <f t="shared" ref="L6:L57" si="4">IF(K6="","",K6-H6-I6)</f>
        <v>0.8200152053</v>
      </c>
      <c r="M6" s="23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4" t="s">
        <v>21</v>
      </c>
      <c r="B7" s="25" t="s">
        <v>17</v>
      </c>
      <c r="C7" s="25" t="s">
        <v>18</v>
      </c>
      <c r="D7" s="25" t="s">
        <v>22</v>
      </c>
      <c r="E7" s="26">
        <v>72.48</v>
      </c>
      <c r="F7" s="25">
        <v>24.0</v>
      </c>
      <c r="G7" s="27" t="s">
        <v>20</v>
      </c>
      <c r="H7" s="28">
        <f t="shared" si="1"/>
        <v>3.02</v>
      </c>
      <c r="I7" s="28">
        <f t="shared" si="2"/>
        <v>0.1</v>
      </c>
      <c r="J7" s="21">
        <v>0.2237</v>
      </c>
      <c r="K7" s="29">
        <f t="shared" si="3"/>
        <v>3.990248615</v>
      </c>
      <c r="L7" s="28">
        <f t="shared" si="4"/>
        <v>0.8702486152</v>
      </c>
      <c r="M7" s="23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6" t="s">
        <v>23</v>
      </c>
      <c r="B8" s="17" t="s">
        <v>17</v>
      </c>
      <c r="C8" s="17" t="s">
        <v>18</v>
      </c>
      <c r="D8" s="17" t="s">
        <v>24</v>
      </c>
      <c r="E8" s="18">
        <v>66.96</v>
      </c>
      <c r="F8" s="17">
        <v>24.0</v>
      </c>
      <c r="G8" s="19" t="s">
        <v>20</v>
      </c>
      <c r="H8" s="20">
        <f t="shared" si="1"/>
        <v>2.79</v>
      </c>
      <c r="I8" s="20">
        <f t="shared" si="2"/>
        <v>0.1</v>
      </c>
      <c r="J8" s="21">
        <v>0.283</v>
      </c>
      <c r="K8" s="22">
        <f t="shared" si="3"/>
        <v>3.991213389</v>
      </c>
      <c r="L8" s="20">
        <f t="shared" si="4"/>
        <v>1.101213389</v>
      </c>
      <c r="M8" s="23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4" t="s">
        <v>25</v>
      </c>
      <c r="B9" s="25" t="s">
        <v>17</v>
      </c>
      <c r="C9" s="25" t="s">
        <v>18</v>
      </c>
      <c r="D9" s="25" t="s">
        <v>26</v>
      </c>
      <c r="E9" s="26">
        <v>66.56</v>
      </c>
      <c r="F9" s="30">
        <v>24.0</v>
      </c>
      <c r="G9" s="27" t="s">
        <v>27</v>
      </c>
      <c r="H9" s="28">
        <f t="shared" si="1"/>
        <v>2.773333333</v>
      </c>
      <c r="I9" s="28">
        <f t="shared" si="2"/>
        <v>0.1</v>
      </c>
      <c r="J9" s="21">
        <v>0.1829</v>
      </c>
      <c r="K9" s="29">
        <f t="shared" si="3"/>
        <v>3.494117407</v>
      </c>
      <c r="L9" s="28">
        <f t="shared" si="4"/>
        <v>0.6207840738</v>
      </c>
      <c r="M9" s="23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1" t="s">
        <v>25</v>
      </c>
      <c r="B10" s="32" t="s">
        <v>28</v>
      </c>
      <c r="C10" s="33" t="s">
        <v>18</v>
      </c>
      <c r="D10" s="33" t="s">
        <v>26</v>
      </c>
      <c r="E10" s="34">
        <v>66.56</v>
      </c>
      <c r="F10" s="35">
        <v>24.0</v>
      </c>
      <c r="G10" s="36" t="s">
        <v>27</v>
      </c>
      <c r="H10" s="37">
        <f t="shared" ref="H10:H11" si="5">E10/G10</f>
        <v>16.64</v>
      </c>
      <c r="I10" s="37">
        <f t="shared" ref="I10:I11" si="6">0.1*6</f>
        <v>0.6</v>
      </c>
      <c r="J10" s="21">
        <v>0.18</v>
      </c>
      <c r="K10" s="38">
        <f t="shared" si="3"/>
        <v>20.89268293</v>
      </c>
      <c r="L10" s="37">
        <f t="shared" si="4"/>
        <v>3.652682927</v>
      </c>
      <c r="M10" s="3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1" t="s">
        <v>29</v>
      </c>
      <c r="B11" s="32" t="s">
        <v>28</v>
      </c>
      <c r="C11" s="33" t="s">
        <v>18</v>
      </c>
      <c r="D11" s="33" t="s">
        <v>30</v>
      </c>
      <c r="E11" s="34">
        <v>65.76</v>
      </c>
      <c r="F11" s="35">
        <v>24.0</v>
      </c>
      <c r="G11" s="36" t="s">
        <v>27</v>
      </c>
      <c r="H11" s="37">
        <f t="shared" si="5"/>
        <v>16.44</v>
      </c>
      <c r="I11" s="37">
        <f t="shared" si="6"/>
        <v>0.6</v>
      </c>
      <c r="J11" s="21">
        <v>0.249</v>
      </c>
      <c r="K11" s="38">
        <f t="shared" si="3"/>
        <v>22.49081225</v>
      </c>
      <c r="L11" s="37">
        <f t="shared" si="4"/>
        <v>5.45081225</v>
      </c>
      <c r="M11" s="3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4" t="s">
        <v>31</v>
      </c>
      <c r="B12" s="25" t="s">
        <v>17</v>
      </c>
      <c r="C12" s="25" t="s">
        <v>18</v>
      </c>
      <c r="D12" s="25" t="s">
        <v>32</v>
      </c>
      <c r="E12" s="26">
        <v>65.04</v>
      </c>
      <c r="F12" s="25">
        <v>24.0</v>
      </c>
      <c r="G12" s="27" t="s">
        <v>20</v>
      </c>
      <c r="H12" s="28">
        <f t="shared" ref="H12:H13" si="7">E12/F12</f>
        <v>2.71</v>
      </c>
      <c r="I12" s="28">
        <f t="shared" ref="I12:I13" si="8">0.1*1</f>
        <v>0.1</v>
      </c>
      <c r="J12" s="21">
        <v>0.285</v>
      </c>
      <c r="K12" s="29">
        <f t="shared" si="3"/>
        <v>3.89020979</v>
      </c>
      <c r="L12" s="28">
        <f t="shared" si="4"/>
        <v>1.08020979</v>
      </c>
      <c r="M12" s="23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6" t="s">
        <v>33</v>
      </c>
      <c r="B13" s="17" t="s">
        <v>17</v>
      </c>
      <c r="C13" s="17" t="s">
        <v>18</v>
      </c>
      <c r="D13" s="17" t="s">
        <v>34</v>
      </c>
      <c r="E13" s="18">
        <v>63.64</v>
      </c>
      <c r="F13" s="40">
        <v>24.0</v>
      </c>
      <c r="G13" s="19" t="s">
        <v>27</v>
      </c>
      <c r="H13" s="20">
        <f t="shared" si="7"/>
        <v>2.651666667</v>
      </c>
      <c r="I13" s="20">
        <f t="shared" si="8"/>
        <v>0.1</v>
      </c>
      <c r="J13" s="21">
        <v>0.218</v>
      </c>
      <c r="K13" s="22">
        <f t="shared" si="3"/>
        <v>3.49087809</v>
      </c>
      <c r="L13" s="20">
        <f t="shared" si="4"/>
        <v>0.7392114237</v>
      </c>
      <c r="M13" s="23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1" t="s">
        <v>33</v>
      </c>
      <c r="B14" s="32" t="s">
        <v>28</v>
      </c>
      <c r="C14" s="33" t="s">
        <v>18</v>
      </c>
      <c r="D14" s="33" t="s">
        <v>34</v>
      </c>
      <c r="E14" s="34">
        <v>63.64</v>
      </c>
      <c r="F14" s="35">
        <v>24.0</v>
      </c>
      <c r="G14" s="36" t="s">
        <v>27</v>
      </c>
      <c r="H14" s="37">
        <f>E14/G14</f>
        <v>15.91</v>
      </c>
      <c r="I14" s="37">
        <f>0.1*6</f>
        <v>0.6</v>
      </c>
      <c r="J14" s="21">
        <v>0.212</v>
      </c>
      <c r="K14" s="38">
        <f t="shared" si="3"/>
        <v>20.79035533</v>
      </c>
      <c r="L14" s="37">
        <f t="shared" si="4"/>
        <v>4.28035533</v>
      </c>
      <c r="M14" s="23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24" t="s">
        <v>35</v>
      </c>
      <c r="B15" s="25" t="s">
        <v>17</v>
      </c>
      <c r="C15" s="25" t="s">
        <v>18</v>
      </c>
      <c r="D15" s="25" t="s">
        <v>36</v>
      </c>
      <c r="E15" s="26">
        <v>58.8</v>
      </c>
      <c r="F15" s="30">
        <v>24.0</v>
      </c>
      <c r="G15" s="27" t="s">
        <v>20</v>
      </c>
      <c r="H15" s="28">
        <f t="shared" ref="H15:H16" si="9">E15/F15</f>
        <v>2.45</v>
      </c>
      <c r="I15" s="28">
        <f t="shared" ref="I15:I16" si="10">0.1*1</f>
        <v>0.1</v>
      </c>
      <c r="J15" s="21">
        <v>0.153</v>
      </c>
      <c r="K15" s="29">
        <f t="shared" si="3"/>
        <v>2.992561983</v>
      </c>
      <c r="L15" s="28">
        <f t="shared" si="4"/>
        <v>0.4425619835</v>
      </c>
      <c r="M15" s="3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6" t="s">
        <v>37</v>
      </c>
      <c r="B16" s="17" t="s">
        <v>17</v>
      </c>
      <c r="C16" s="17" t="s">
        <v>18</v>
      </c>
      <c r="D16" s="17" t="s">
        <v>38</v>
      </c>
      <c r="E16" s="18">
        <v>55.0</v>
      </c>
      <c r="F16" s="40">
        <v>24.0</v>
      </c>
      <c r="G16" s="19" t="s">
        <v>27</v>
      </c>
      <c r="H16" s="20">
        <f t="shared" si="9"/>
        <v>2.291666667</v>
      </c>
      <c r="I16" s="20">
        <f t="shared" si="10"/>
        <v>0.1</v>
      </c>
      <c r="J16" s="21">
        <v>0.2076</v>
      </c>
      <c r="K16" s="22">
        <f t="shared" si="3"/>
        <v>2.992057883</v>
      </c>
      <c r="L16" s="20">
        <f t="shared" si="4"/>
        <v>0.6003912166</v>
      </c>
      <c r="M16" s="23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31" t="s">
        <v>37</v>
      </c>
      <c r="B17" s="32" t="s">
        <v>28</v>
      </c>
      <c r="C17" s="33" t="s">
        <v>18</v>
      </c>
      <c r="D17" s="33" t="s">
        <v>38</v>
      </c>
      <c r="E17" s="34">
        <v>55.0</v>
      </c>
      <c r="F17" s="33">
        <v>24.0</v>
      </c>
      <c r="G17" s="36" t="s">
        <v>27</v>
      </c>
      <c r="H17" s="37">
        <f>E17/G17</f>
        <v>13.75</v>
      </c>
      <c r="I17" s="37">
        <f>0.1*6</f>
        <v>0.6</v>
      </c>
      <c r="J17" s="21">
        <v>0.2</v>
      </c>
      <c r="K17" s="38">
        <f t="shared" si="3"/>
        <v>17.7875</v>
      </c>
      <c r="L17" s="37">
        <f t="shared" si="4"/>
        <v>3.4375</v>
      </c>
      <c r="M17" s="3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24" t="s">
        <v>39</v>
      </c>
      <c r="B18" s="25" t="s">
        <v>17</v>
      </c>
      <c r="C18" s="25" t="s">
        <v>18</v>
      </c>
      <c r="D18" s="25" t="s">
        <v>40</v>
      </c>
      <c r="E18" s="26">
        <v>53.84</v>
      </c>
      <c r="F18" s="25">
        <v>24.0</v>
      </c>
      <c r="G18" s="27" t="s">
        <v>27</v>
      </c>
      <c r="H18" s="28">
        <f>E18/F18</f>
        <v>2.243333333</v>
      </c>
      <c r="I18" s="28">
        <f>0.1*1</f>
        <v>0.1</v>
      </c>
      <c r="J18" s="21">
        <v>0.2249</v>
      </c>
      <c r="K18" s="29">
        <f t="shared" si="3"/>
        <v>2.994250204</v>
      </c>
      <c r="L18" s="28">
        <f t="shared" si="4"/>
        <v>0.6509168709</v>
      </c>
      <c r="M18" s="2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31" t="s">
        <v>39</v>
      </c>
      <c r="B19" s="32" t="s">
        <v>28</v>
      </c>
      <c r="C19" s="33" t="s">
        <v>18</v>
      </c>
      <c r="D19" s="33" t="s">
        <v>40</v>
      </c>
      <c r="E19" s="34">
        <v>53.84</v>
      </c>
      <c r="F19" s="35">
        <v>24.0</v>
      </c>
      <c r="G19" s="36" t="s">
        <v>27</v>
      </c>
      <c r="H19" s="37">
        <f>E19/G19</f>
        <v>13.46</v>
      </c>
      <c r="I19" s="37">
        <f>0.1*6</f>
        <v>0.6</v>
      </c>
      <c r="J19" s="21">
        <v>0.2215</v>
      </c>
      <c r="K19" s="38">
        <f t="shared" si="3"/>
        <v>17.8896596</v>
      </c>
      <c r="L19" s="37">
        <f t="shared" si="4"/>
        <v>3.829659602</v>
      </c>
      <c r="M19" s="3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16" t="s">
        <v>41</v>
      </c>
      <c r="B20" s="17" t="s">
        <v>17</v>
      </c>
      <c r="C20" s="17" t="s">
        <v>18</v>
      </c>
      <c r="D20" s="17" t="s">
        <v>42</v>
      </c>
      <c r="E20" s="18">
        <v>53.08</v>
      </c>
      <c r="F20" s="40">
        <v>24.0</v>
      </c>
      <c r="G20" s="19" t="s">
        <v>27</v>
      </c>
      <c r="H20" s="20">
        <f>E20/F20</f>
        <v>2.211666667</v>
      </c>
      <c r="I20" s="20">
        <f>0.1*1</f>
        <v>0.1</v>
      </c>
      <c r="J20" s="21">
        <v>0.2353</v>
      </c>
      <c r="K20" s="22">
        <f t="shared" si="3"/>
        <v>2.992201735</v>
      </c>
      <c r="L20" s="20">
        <f t="shared" si="4"/>
        <v>0.6805350682</v>
      </c>
      <c r="M20" s="2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31" t="s">
        <v>41</v>
      </c>
      <c r="B21" s="32" t="s">
        <v>28</v>
      </c>
      <c r="C21" s="33" t="s">
        <v>18</v>
      </c>
      <c r="D21" s="33" t="s">
        <v>42</v>
      </c>
      <c r="E21" s="34">
        <v>53.08</v>
      </c>
      <c r="F21" s="35">
        <v>24.0</v>
      </c>
      <c r="G21" s="36" t="s">
        <v>27</v>
      </c>
      <c r="H21" s="37">
        <f>E21/G21</f>
        <v>13.27</v>
      </c>
      <c r="I21" s="37">
        <f>0.1*6</f>
        <v>0.6</v>
      </c>
      <c r="J21" s="21">
        <v>0.228</v>
      </c>
      <c r="K21" s="38">
        <f t="shared" si="3"/>
        <v>17.78911917</v>
      </c>
      <c r="L21" s="37">
        <f t="shared" si="4"/>
        <v>3.919119171</v>
      </c>
      <c r="M21" s="3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24" t="s">
        <v>43</v>
      </c>
      <c r="B22" s="25" t="s">
        <v>17</v>
      </c>
      <c r="C22" s="25" t="s">
        <v>18</v>
      </c>
      <c r="D22" s="25" t="s">
        <v>44</v>
      </c>
      <c r="E22" s="26">
        <v>51.48</v>
      </c>
      <c r="F22" s="30">
        <v>24.0</v>
      </c>
      <c r="G22" s="27" t="s">
        <v>27</v>
      </c>
      <c r="H22" s="28">
        <f>E22/F22</f>
        <v>2.145</v>
      </c>
      <c r="I22" s="28">
        <f>0.1*1</f>
        <v>0.1</v>
      </c>
      <c r="J22" s="41">
        <f>1-H22/(2.99-I22)</f>
        <v>0.2577854671</v>
      </c>
      <c r="K22" s="29">
        <f t="shared" si="3"/>
        <v>2.99</v>
      </c>
      <c r="L22" s="28">
        <f t="shared" si="4"/>
        <v>0.745</v>
      </c>
      <c r="M22" s="2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31" t="s">
        <v>43</v>
      </c>
      <c r="B23" s="32" t="s">
        <v>28</v>
      </c>
      <c r="C23" s="33" t="s">
        <v>18</v>
      </c>
      <c r="D23" s="33" t="s">
        <v>44</v>
      </c>
      <c r="E23" s="34">
        <v>51.48</v>
      </c>
      <c r="F23" s="35">
        <v>24.0</v>
      </c>
      <c r="G23" s="36" t="s">
        <v>27</v>
      </c>
      <c r="H23" s="37">
        <f>E23/G23</f>
        <v>12.87</v>
      </c>
      <c r="I23" s="37">
        <f>0.1*6</f>
        <v>0.6</v>
      </c>
      <c r="J23" s="21">
        <v>0.238</v>
      </c>
      <c r="K23" s="38">
        <f t="shared" si="3"/>
        <v>17.48976378</v>
      </c>
      <c r="L23" s="37">
        <f t="shared" si="4"/>
        <v>4.01976378</v>
      </c>
      <c r="M23" s="3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16" t="s">
        <v>45</v>
      </c>
      <c r="B24" s="17" t="s">
        <v>17</v>
      </c>
      <c r="C24" s="17" t="s">
        <v>18</v>
      </c>
      <c r="D24" s="17" t="s">
        <v>46</v>
      </c>
      <c r="E24" s="18">
        <v>50.16</v>
      </c>
      <c r="F24" s="40">
        <v>24.0</v>
      </c>
      <c r="G24" s="19" t="s">
        <v>20</v>
      </c>
      <c r="H24" s="20">
        <f t="shared" ref="H24:H26" si="11">E24/F24</f>
        <v>2.09</v>
      </c>
      <c r="I24" s="20">
        <f t="shared" ref="I24:I26" si="12">0.1*1</f>
        <v>0.1</v>
      </c>
      <c r="J24" s="21">
        <v>0.2768</v>
      </c>
      <c r="K24" s="22">
        <f t="shared" si="3"/>
        <v>2.989933628</v>
      </c>
      <c r="L24" s="20">
        <f t="shared" si="4"/>
        <v>0.7999336283</v>
      </c>
      <c r="M24" s="2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24" t="s">
        <v>47</v>
      </c>
      <c r="B25" s="25" t="s">
        <v>17</v>
      </c>
      <c r="C25" s="25" t="s">
        <v>18</v>
      </c>
      <c r="D25" s="25" t="s">
        <v>48</v>
      </c>
      <c r="E25" s="26">
        <v>46.8</v>
      </c>
      <c r="F25" s="30">
        <v>24.0</v>
      </c>
      <c r="G25" s="27" t="s">
        <v>20</v>
      </c>
      <c r="H25" s="28">
        <f t="shared" si="11"/>
        <v>1.95</v>
      </c>
      <c r="I25" s="28">
        <f t="shared" si="12"/>
        <v>0.1</v>
      </c>
      <c r="J25" s="21">
        <v>0.1841</v>
      </c>
      <c r="K25" s="29">
        <f t="shared" si="3"/>
        <v>2.489998774</v>
      </c>
      <c r="L25" s="28">
        <f t="shared" si="4"/>
        <v>0.4399987744</v>
      </c>
      <c r="M25" s="2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42" t="s">
        <v>49</v>
      </c>
      <c r="B26" s="17" t="s">
        <v>17</v>
      </c>
      <c r="C26" s="17" t="s">
        <v>18</v>
      </c>
      <c r="D26" s="17" t="s">
        <v>50</v>
      </c>
      <c r="E26" s="18">
        <v>45.16</v>
      </c>
      <c r="F26" s="40">
        <v>24.0</v>
      </c>
      <c r="G26" s="19" t="s">
        <v>27</v>
      </c>
      <c r="H26" s="20">
        <f t="shared" si="11"/>
        <v>1.881666667</v>
      </c>
      <c r="I26" s="20">
        <f t="shared" si="12"/>
        <v>0.1</v>
      </c>
      <c r="J26" s="21">
        <v>0.2134</v>
      </c>
      <c r="K26" s="22">
        <f t="shared" si="3"/>
        <v>2.492151877</v>
      </c>
      <c r="L26" s="20">
        <f t="shared" si="4"/>
        <v>0.5104852106</v>
      </c>
      <c r="M26" s="2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43" t="s">
        <v>49</v>
      </c>
      <c r="B27" s="32" t="s">
        <v>28</v>
      </c>
      <c r="C27" s="33" t="s">
        <v>18</v>
      </c>
      <c r="D27" s="33" t="s">
        <v>50</v>
      </c>
      <c r="E27" s="34">
        <v>45.16</v>
      </c>
      <c r="F27" s="35">
        <v>24.0</v>
      </c>
      <c r="G27" s="36" t="s">
        <v>27</v>
      </c>
      <c r="H27" s="37">
        <f>E27/G27</f>
        <v>11.29</v>
      </c>
      <c r="I27" s="37">
        <f>0.1*6</f>
        <v>0.6</v>
      </c>
      <c r="J27" s="21">
        <v>0.21</v>
      </c>
      <c r="K27" s="38">
        <f t="shared" si="3"/>
        <v>14.89113924</v>
      </c>
      <c r="L27" s="37">
        <f t="shared" si="4"/>
        <v>3.001139241</v>
      </c>
      <c r="M27" s="39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24" t="s">
        <v>51</v>
      </c>
      <c r="B28" s="25" t="s">
        <v>17</v>
      </c>
      <c r="C28" s="25" t="s">
        <v>18</v>
      </c>
      <c r="D28" s="25" t="s">
        <v>52</v>
      </c>
      <c r="E28" s="26">
        <v>45.12</v>
      </c>
      <c r="F28" s="25">
        <v>24.0</v>
      </c>
      <c r="G28" s="27" t="s">
        <v>27</v>
      </c>
      <c r="H28" s="28">
        <f>E28/F28</f>
        <v>1.88</v>
      </c>
      <c r="I28" s="28">
        <f>0.1*1</f>
        <v>0.1</v>
      </c>
      <c r="J28" s="21">
        <v>0.2134</v>
      </c>
      <c r="K28" s="29">
        <f t="shared" si="3"/>
        <v>2.490033054</v>
      </c>
      <c r="L28" s="28">
        <f t="shared" si="4"/>
        <v>0.5100330536</v>
      </c>
      <c r="M28" s="2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31" t="s">
        <v>51</v>
      </c>
      <c r="B29" s="32" t="s">
        <v>28</v>
      </c>
      <c r="C29" s="33" t="s">
        <v>18</v>
      </c>
      <c r="D29" s="33" t="s">
        <v>52</v>
      </c>
      <c r="E29" s="34">
        <v>45.12</v>
      </c>
      <c r="F29" s="35">
        <v>24.0</v>
      </c>
      <c r="G29" s="36" t="s">
        <v>27</v>
      </c>
      <c r="H29" s="37">
        <f>E29/G29</f>
        <v>11.28</v>
      </c>
      <c r="I29" s="37">
        <f>0.1*6</f>
        <v>0.6</v>
      </c>
      <c r="J29" s="21">
        <v>0.212</v>
      </c>
      <c r="K29" s="38">
        <f t="shared" si="3"/>
        <v>14.91472081</v>
      </c>
      <c r="L29" s="37">
        <f t="shared" si="4"/>
        <v>3.034720812</v>
      </c>
      <c r="M29" s="39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16" t="s">
        <v>53</v>
      </c>
      <c r="B30" s="17" t="s">
        <v>17</v>
      </c>
      <c r="C30" s="17" t="s">
        <v>18</v>
      </c>
      <c r="D30" s="17" t="s">
        <v>54</v>
      </c>
      <c r="E30" s="18">
        <v>45.08</v>
      </c>
      <c r="F30" s="17">
        <v>24.0</v>
      </c>
      <c r="G30" s="19" t="s">
        <v>27</v>
      </c>
      <c r="H30" s="20">
        <f>E30/F30</f>
        <v>1.878333333</v>
      </c>
      <c r="I30" s="20">
        <f>0.1*1</f>
        <v>0.1</v>
      </c>
      <c r="J30" s="21">
        <v>0.245</v>
      </c>
      <c r="K30" s="22">
        <f t="shared" si="3"/>
        <v>2.58785872</v>
      </c>
      <c r="L30" s="20">
        <f t="shared" si="4"/>
        <v>0.6095253863</v>
      </c>
      <c r="M30" s="2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31" t="s">
        <v>53</v>
      </c>
      <c r="B31" s="32" t="s">
        <v>28</v>
      </c>
      <c r="C31" s="33" t="s">
        <v>18</v>
      </c>
      <c r="D31" s="33" t="s">
        <v>54</v>
      </c>
      <c r="E31" s="34">
        <v>45.08</v>
      </c>
      <c r="F31" s="35">
        <v>24.0</v>
      </c>
      <c r="G31" s="36" t="s">
        <v>27</v>
      </c>
      <c r="H31" s="37">
        <f>E31/G31</f>
        <v>11.27</v>
      </c>
      <c r="I31" s="37">
        <f>0.1*6</f>
        <v>0.6</v>
      </c>
      <c r="J31" s="21">
        <v>0.2431</v>
      </c>
      <c r="K31" s="38">
        <f t="shared" si="3"/>
        <v>15.4896816</v>
      </c>
      <c r="L31" s="37">
        <f t="shared" si="4"/>
        <v>3.619681596</v>
      </c>
      <c r="M31" s="39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24" t="s">
        <v>55</v>
      </c>
      <c r="B32" s="25" t="s">
        <v>17</v>
      </c>
      <c r="C32" s="25" t="s">
        <v>18</v>
      </c>
      <c r="D32" s="25" t="s">
        <v>56</v>
      </c>
      <c r="E32" s="26">
        <v>45.08</v>
      </c>
      <c r="F32" s="30">
        <v>24.0</v>
      </c>
      <c r="G32" s="27" t="s">
        <v>27</v>
      </c>
      <c r="H32" s="28">
        <f>E32/F32</f>
        <v>1.878333333</v>
      </c>
      <c r="I32" s="28">
        <f>0.1*1</f>
        <v>0.1</v>
      </c>
      <c r="J32" s="21">
        <v>0.2134</v>
      </c>
      <c r="K32" s="29">
        <f t="shared" si="3"/>
        <v>2.48791423</v>
      </c>
      <c r="L32" s="28">
        <f t="shared" si="4"/>
        <v>0.5095808967</v>
      </c>
      <c r="M32" s="2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31" t="s">
        <v>55</v>
      </c>
      <c r="B33" s="32" t="s">
        <v>28</v>
      </c>
      <c r="C33" s="33" t="s">
        <v>18</v>
      </c>
      <c r="D33" s="33" t="s">
        <v>56</v>
      </c>
      <c r="E33" s="34">
        <v>45.08</v>
      </c>
      <c r="F33" s="35">
        <v>24.0</v>
      </c>
      <c r="G33" s="36" t="s">
        <v>27</v>
      </c>
      <c r="H33" s="37">
        <f>E33/G33</f>
        <v>11.27</v>
      </c>
      <c r="I33" s="37">
        <f>0.1*6</f>
        <v>0.6</v>
      </c>
      <c r="J33" s="21">
        <v>0.212</v>
      </c>
      <c r="K33" s="38">
        <f t="shared" si="3"/>
        <v>14.90203046</v>
      </c>
      <c r="L33" s="37">
        <f t="shared" si="4"/>
        <v>3.032030457</v>
      </c>
      <c r="M33" s="39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8.75" customHeight="1">
      <c r="A34" s="16" t="s">
        <v>57</v>
      </c>
      <c r="B34" s="17" t="s">
        <v>17</v>
      </c>
      <c r="C34" s="17" t="s">
        <v>18</v>
      </c>
      <c r="D34" s="17" t="s">
        <v>58</v>
      </c>
      <c r="E34" s="18">
        <v>45.08</v>
      </c>
      <c r="F34" s="17">
        <v>24.0</v>
      </c>
      <c r="G34" s="19" t="s">
        <v>59</v>
      </c>
      <c r="H34" s="20">
        <f>E34/F34</f>
        <v>1.878333333</v>
      </c>
      <c r="I34" s="20">
        <f>0.1*1</f>
        <v>0.1</v>
      </c>
      <c r="J34" s="21">
        <v>0.2134</v>
      </c>
      <c r="K34" s="22">
        <f t="shared" si="3"/>
        <v>2.48791423</v>
      </c>
      <c r="L34" s="20">
        <f t="shared" si="4"/>
        <v>0.5095808967</v>
      </c>
      <c r="M34" s="2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31" t="s">
        <v>57</v>
      </c>
      <c r="B35" s="32" t="s">
        <v>28</v>
      </c>
      <c r="C35" s="33" t="s">
        <v>18</v>
      </c>
      <c r="D35" s="33" t="s">
        <v>58</v>
      </c>
      <c r="E35" s="34">
        <v>45.08</v>
      </c>
      <c r="F35" s="33">
        <v>24.0</v>
      </c>
      <c r="G35" s="36" t="s">
        <v>27</v>
      </c>
      <c r="H35" s="37">
        <f t="shared" ref="H35:H36" si="13">E35/G35</f>
        <v>11.27</v>
      </c>
      <c r="I35" s="37">
        <f t="shared" ref="I35:I36" si="14">0.1*6</f>
        <v>0.6</v>
      </c>
      <c r="J35" s="21">
        <v>0.212</v>
      </c>
      <c r="K35" s="38">
        <f t="shared" si="3"/>
        <v>14.90203046</v>
      </c>
      <c r="L35" s="37">
        <f t="shared" si="4"/>
        <v>3.032030457</v>
      </c>
      <c r="M35" s="39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31" t="s">
        <v>60</v>
      </c>
      <c r="B36" s="32" t="s">
        <v>28</v>
      </c>
      <c r="C36" s="33" t="s">
        <v>18</v>
      </c>
      <c r="D36" s="33" t="s">
        <v>61</v>
      </c>
      <c r="E36" s="34">
        <v>44.32</v>
      </c>
      <c r="F36" s="33">
        <v>24.0</v>
      </c>
      <c r="G36" s="36" t="s">
        <v>27</v>
      </c>
      <c r="H36" s="37">
        <f t="shared" si="13"/>
        <v>11.08</v>
      </c>
      <c r="I36" s="37">
        <f t="shared" si="14"/>
        <v>0.6</v>
      </c>
      <c r="J36" s="21">
        <v>0.25</v>
      </c>
      <c r="K36" s="38">
        <f t="shared" si="3"/>
        <v>15.37333333</v>
      </c>
      <c r="L36" s="37">
        <f t="shared" si="4"/>
        <v>3.693333333</v>
      </c>
      <c r="M36" s="39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16" t="s">
        <v>62</v>
      </c>
      <c r="B37" s="17" t="s">
        <v>17</v>
      </c>
      <c r="C37" s="17" t="s">
        <v>18</v>
      </c>
      <c r="D37" s="17" t="s">
        <v>63</v>
      </c>
      <c r="E37" s="18">
        <v>41.56</v>
      </c>
      <c r="F37" s="17">
        <v>24.0</v>
      </c>
      <c r="G37" s="19" t="s">
        <v>27</v>
      </c>
      <c r="H37" s="20">
        <f>E37/F37</f>
        <v>1.731666667</v>
      </c>
      <c r="I37" s="20">
        <f>0.1*1</f>
        <v>0.1</v>
      </c>
      <c r="J37" s="21">
        <v>0.2762</v>
      </c>
      <c r="K37" s="22">
        <f t="shared" si="3"/>
        <v>2.49246569</v>
      </c>
      <c r="L37" s="20">
        <f t="shared" si="4"/>
        <v>0.6607990237</v>
      </c>
      <c r="M37" s="2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31" t="s">
        <v>62</v>
      </c>
      <c r="B38" s="32" t="s">
        <v>28</v>
      </c>
      <c r="C38" s="33" t="s">
        <v>18</v>
      </c>
      <c r="D38" s="33" t="s">
        <v>63</v>
      </c>
      <c r="E38" s="34">
        <v>41.56</v>
      </c>
      <c r="F38" s="33">
        <v>24.0</v>
      </c>
      <c r="G38" s="36" t="s">
        <v>27</v>
      </c>
      <c r="H38" s="37">
        <f>E38/G38</f>
        <v>10.39</v>
      </c>
      <c r="I38" s="37">
        <f>0.1*6</f>
        <v>0.6</v>
      </c>
      <c r="J38" s="21">
        <v>0.224</v>
      </c>
      <c r="K38" s="38">
        <f t="shared" si="3"/>
        <v>13.98917526</v>
      </c>
      <c r="L38" s="37">
        <f t="shared" si="4"/>
        <v>2.999175258</v>
      </c>
      <c r="M38" s="39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24" t="s">
        <v>64</v>
      </c>
      <c r="B39" s="25" t="s">
        <v>17</v>
      </c>
      <c r="C39" s="25" t="s">
        <v>18</v>
      </c>
      <c r="D39" s="25" t="s">
        <v>65</v>
      </c>
      <c r="E39" s="26">
        <v>41.56</v>
      </c>
      <c r="F39" s="25">
        <v>24.0</v>
      </c>
      <c r="G39" s="27" t="s">
        <v>27</v>
      </c>
      <c r="H39" s="28">
        <f>E39/F39</f>
        <v>1.731666667</v>
      </c>
      <c r="I39" s="28">
        <f>0.1*1</f>
        <v>0.1</v>
      </c>
      <c r="J39" s="21">
        <v>0.2762</v>
      </c>
      <c r="K39" s="29">
        <f t="shared" si="3"/>
        <v>2.49246569</v>
      </c>
      <c r="L39" s="28">
        <f t="shared" si="4"/>
        <v>0.6607990237</v>
      </c>
      <c r="M39" s="2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31" t="s">
        <v>64</v>
      </c>
      <c r="B40" s="32" t="s">
        <v>28</v>
      </c>
      <c r="C40" s="33" t="s">
        <v>18</v>
      </c>
      <c r="D40" s="33" t="s">
        <v>65</v>
      </c>
      <c r="E40" s="34">
        <v>41.56</v>
      </c>
      <c r="F40" s="33">
        <v>24.0</v>
      </c>
      <c r="G40" s="36" t="s">
        <v>27</v>
      </c>
      <c r="H40" s="37">
        <f>E40/G40</f>
        <v>10.39</v>
      </c>
      <c r="I40" s="37">
        <f>0.1*6</f>
        <v>0.6</v>
      </c>
      <c r="J40" s="21">
        <v>0.224</v>
      </c>
      <c r="K40" s="38">
        <f t="shared" si="3"/>
        <v>13.98917526</v>
      </c>
      <c r="L40" s="37">
        <f t="shared" si="4"/>
        <v>2.999175258</v>
      </c>
      <c r="M40" s="39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16" t="s">
        <v>66</v>
      </c>
      <c r="B41" s="17" t="s">
        <v>17</v>
      </c>
      <c r="C41" s="17" t="s">
        <v>18</v>
      </c>
      <c r="D41" s="17" t="s">
        <v>67</v>
      </c>
      <c r="E41" s="18">
        <v>39.96</v>
      </c>
      <c r="F41" s="17">
        <v>24.0</v>
      </c>
      <c r="G41" s="19" t="s">
        <v>27</v>
      </c>
      <c r="H41" s="20">
        <f>E41/F41</f>
        <v>1.665</v>
      </c>
      <c r="I41" s="20">
        <f>0.1*1</f>
        <v>0.1</v>
      </c>
      <c r="J41" s="41">
        <f>1-H41/(2.49-I41)</f>
        <v>0.3033472803</v>
      </c>
      <c r="K41" s="22">
        <f t="shared" si="3"/>
        <v>2.49</v>
      </c>
      <c r="L41" s="20">
        <f t="shared" si="4"/>
        <v>0.725</v>
      </c>
      <c r="M41" s="2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31" t="s">
        <v>66</v>
      </c>
      <c r="B42" s="32" t="s">
        <v>28</v>
      </c>
      <c r="C42" s="33" t="s">
        <v>18</v>
      </c>
      <c r="D42" s="33" t="s">
        <v>67</v>
      </c>
      <c r="E42" s="34">
        <v>39.96</v>
      </c>
      <c r="F42" s="33">
        <v>24.0</v>
      </c>
      <c r="G42" s="36" t="s">
        <v>27</v>
      </c>
      <c r="H42" s="37">
        <f>E42/G42</f>
        <v>9.99</v>
      </c>
      <c r="I42" s="37">
        <f>0.1*6</f>
        <v>0.6</v>
      </c>
      <c r="J42" s="21">
        <v>0.254</v>
      </c>
      <c r="K42" s="38">
        <f t="shared" si="3"/>
        <v>13.99142091</v>
      </c>
      <c r="L42" s="37">
        <f t="shared" si="4"/>
        <v>3.401420912</v>
      </c>
      <c r="M42" s="39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24" t="s">
        <v>68</v>
      </c>
      <c r="B43" s="25" t="s">
        <v>17</v>
      </c>
      <c r="C43" s="25" t="s">
        <v>18</v>
      </c>
      <c r="D43" s="25" t="s">
        <v>69</v>
      </c>
      <c r="E43" s="26">
        <v>39.53</v>
      </c>
      <c r="F43" s="25">
        <v>24.0</v>
      </c>
      <c r="G43" s="27" t="s">
        <v>70</v>
      </c>
      <c r="H43" s="28">
        <f>E43/F43</f>
        <v>1.647083333</v>
      </c>
      <c r="I43" s="28">
        <f>0.1*1</f>
        <v>0.1</v>
      </c>
      <c r="J43" s="21">
        <v>0.3096</v>
      </c>
      <c r="K43" s="29">
        <f t="shared" si="3"/>
        <v>2.485694284</v>
      </c>
      <c r="L43" s="28">
        <f t="shared" si="4"/>
        <v>0.7386109502</v>
      </c>
      <c r="M43" s="2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43" t="s">
        <v>71</v>
      </c>
      <c r="B44" s="32" t="s">
        <v>28</v>
      </c>
      <c r="C44" s="33" t="s">
        <v>18</v>
      </c>
      <c r="D44" s="44">
        <v>18.0</v>
      </c>
      <c r="E44" s="45">
        <v>59.1</v>
      </c>
      <c r="F44" s="33">
        <v>24.0</v>
      </c>
      <c r="G44" s="36" t="s">
        <v>27</v>
      </c>
      <c r="H44" s="37">
        <f>E44/G44</f>
        <v>14.775</v>
      </c>
      <c r="I44" s="37">
        <f>0.1*6</f>
        <v>0.6</v>
      </c>
      <c r="J44" s="21">
        <v>0.257</v>
      </c>
      <c r="K44" s="38">
        <f t="shared" si="3"/>
        <v>20.48559892</v>
      </c>
      <c r="L44" s="37">
        <f t="shared" si="4"/>
        <v>5.110598923</v>
      </c>
      <c r="M44" s="39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16" t="s">
        <v>72</v>
      </c>
      <c r="B45" s="17" t="s">
        <v>17</v>
      </c>
      <c r="C45" s="17" t="s">
        <v>18</v>
      </c>
      <c r="D45" s="17" t="s">
        <v>73</v>
      </c>
      <c r="E45" s="18">
        <v>38.96</v>
      </c>
      <c r="F45" s="17">
        <v>24.0</v>
      </c>
      <c r="G45" s="19" t="s">
        <v>27</v>
      </c>
      <c r="H45" s="20">
        <f>E45/F45</f>
        <v>1.623333333</v>
      </c>
      <c r="I45" s="20">
        <f>0.1*1</f>
        <v>0.1</v>
      </c>
      <c r="J45" s="21">
        <v>0.32</v>
      </c>
      <c r="K45" s="22">
        <f t="shared" si="3"/>
        <v>2.487254902</v>
      </c>
      <c r="L45" s="20">
        <f t="shared" si="4"/>
        <v>0.7639215686</v>
      </c>
      <c r="M45" s="2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31" t="s">
        <v>72</v>
      </c>
      <c r="B46" s="32" t="s">
        <v>28</v>
      </c>
      <c r="C46" s="33" t="s">
        <v>18</v>
      </c>
      <c r="D46" s="33" t="s">
        <v>73</v>
      </c>
      <c r="E46" s="34">
        <v>38.96</v>
      </c>
      <c r="F46" s="35">
        <v>24.0</v>
      </c>
      <c r="G46" s="36" t="s">
        <v>27</v>
      </c>
      <c r="H46" s="37">
        <f>E46/G46</f>
        <v>9.74</v>
      </c>
      <c r="I46" s="37">
        <f>0.1*6</f>
        <v>0.6</v>
      </c>
      <c r="J46" s="21">
        <v>0.198</v>
      </c>
      <c r="K46" s="38">
        <f t="shared" si="3"/>
        <v>12.7446384</v>
      </c>
      <c r="L46" s="37">
        <f t="shared" si="4"/>
        <v>2.404638404</v>
      </c>
      <c r="M46" s="39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24" t="s">
        <v>74</v>
      </c>
      <c r="B47" s="25" t="s">
        <v>17</v>
      </c>
      <c r="C47" s="25" t="s">
        <v>18</v>
      </c>
      <c r="D47" s="25" t="s">
        <v>75</v>
      </c>
      <c r="E47" s="26">
        <v>30.6</v>
      </c>
      <c r="F47" s="25">
        <v>12.0</v>
      </c>
      <c r="G47" s="27" t="s">
        <v>76</v>
      </c>
      <c r="H47" s="28">
        <f>E47/F47</f>
        <v>2.55</v>
      </c>
      <c r="I47" s="28">
        <f>0.1*1</f>
        <v>0.1</v>
      </c>
      <c r="J47" s="21">
        <v>0.2478</v>
      </c>
      <c r="K47" s="29">
        <f t="shared" si="3"/>
        <v>3.490055836</v>
      </c>
      <c r="L47" s="28">
        <f t="shared" si="4"/>
        <v>0.8400558362</v>
      </c>
      <c r="M47" s="2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31" t="s">
        <v>77</v>
      </c>
      <c r="B48" s="32" t="s">
        <v>78</v>
      </c>
      <c r="C48" s="33" t="s">
        <v>18</v>
      </c>
      <c r="D48" s="33" t="s">
        <v>79</v>
      </c>
      <c r="E48" s="34">
        <v>24.12</v>
      </c>
      <c r="F48" s="33">
        <v>24.0</v>
      </c>
      <c r="G48" s="36" t="s">
        <v>80</v>
      </c>
      <c r="H48" s="37">
        <f t="shared" ref="H48:H49" si="15">E48/G48</f>
        <v>4.02</v>
      </c>
      <c r="I48" s="37">
        <f t="shared" ref="I48:I49" si="16">0.1*4</f>
        <v>0.4</v>
      </c>
      <c r="J48" s="21">
        <v>0.2102</v>
      </c>
      <c r="K48" s="38">
        <f t="shared" si="3"/>
        <v>5.489896176</v>
      </c>
      <c r="L48" s="37">
        <f t="shared" si="4"/>
        <v>1.069896176</v>
      </c>
      <c r="M48" s="39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43" t="s">
        <v>81</v>
      </c>
      <c r="B49" s="46" t="s">
        <v>78</v>
      </c>
      <c r="C49" s="44" t="s">
        <v>18</v>
      </c>
      <c r="D49" s="47">
        <v>296244.0</v>
      </c>
      <c r="E49" s="45">
        <v>65.52</v>
      </c>
      <c r="F49" s="44">
        <v>24.0</v>
      </c>
      <c r="G49" s="48" t="s">
        <v>80</v>
      </c>
      <c r="H49" s="37">
        <f t="shared" si="15"/>
        <v>10.92</v>
      </c>
      <c r="I49" s="37">
        <f t="shared" si="16"/>
        <v>0.4</v>
      </c>
      <c r="J49" s="21">
        <v>0.251</v>
      </c>
      <c r="K49" s="38">
        <f t="shared" si="3"/>
        <v>14.97943925</v>
      </c>
      <c r="L49" s="37">
        <f t="shared" si="4"/>
        <v>3.659439252</v>
      </c>
      <c r="M49" s="39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43" t="s">
        <v>81</v>
      </c>
      <c r="B50" s="17" t="s">
        <v>17</v>
      </c>
      <c r="C50" s="44" t="s">
        <v>18</v>
      </c>
      <c r="D50" s="47">
        <v>296244.0</v>
      </c>
      <c r="E50" s="45">
        <v>65.52</v>
      </c>
      <c r="F50" s="44">
        <v>24.0</v>
      </c>
      <c r="G50" s="48" t="s">
        <v>80</v>
      </c>
      <c r="H50" s="20">
        <f t="shared" ref="H50:H51" si="17">E50/F50</f>
        <v>2.73</v>
      </c>
      <c r="I50" s="20">
        <f t="shared" ref="I50:I51" si="18">0.1*1</f>
        <v>0.1</v>
      </c>
      <c r="J50" s="41">
        <v>0.26</v>
      </c>
      <c r="K50" s="22">
        <f t="shared" si="3"/>
        <v>3.789189189</v>
      </c>
      <c r="L50" s="20">
        <f t="shared" si="4"/>
        <v>0.9591891892</v>
      </c>
      <c r="M50" s="2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43" t="s">
        <v>82</v>
      </c>
      <c r="B51" s="17" t="s">
        <v>17</v>
      </c>
      <c r="C51" s="44" t="s">
        <v>18</v>
      </c>
      <c r="D51" s="47">
        <v>459818.0</v>
      </c>
      <c r="E51" s="45">
        <v>66.55</v>
      </c>
      <c r="F51" s="44">
        <v>24.0</v>
      </c>
      <c r="G51" s="48" t="s">
        <v>80</v>
      </c>
      <c r="H51" s="20">
        <f t="shared" si="17"/>
        <v>2.772916667</v>
      </c>
      <c r="I51" s="20">
        <f t="shared" si="18"/>
        <v>0.1</v>
      </c>
      <c r="J51" s="41">
        <v>0.268</v>
      </c>
      <c r="K51" s="22">
        <f t="shared" si="3"/>
        <v>3.888137523</v>
      </c>
      <c r="L51" s="20">
        <f t="shared" si="4"/>
        <v>1.015220856</v>
      </c>
      <c r="M51" s="2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43" t="s">
        <v>82</v>
      </c>
      <c r="B52" s="32" t="s">
        <v>28</v>
      </c>
      <c r="C52" s="44" t="s">
        <v>18</v>
      </c>
      <c r="D52" s="47">
        <v>459818.0</v>
      </c>
      <c r="E52" s="45">
        <v>66.55</v>
      </c>
      <c r="F52" s="44">
        <v>24.0</v>
      </c>
      <c r="G52" s="48" t="s">
        <v>80</v>
      </c>
      <c r="H52" s="37">
        <f>E52/G52</f>
        <v>11.09166667</v>
      </c>
      <c r="I52" s="37">
        <f>0.1*4</f>
        <v>0.4</v>
      </c>
      <c r="J52" s="21">
        <v>0.24</v>
      </c>
      <c r="K52" s="38">
        <f t="shared" si="3"/>
        <v>14.99429825</v>
      </c>
      <c r="L52" s="37">
        <f t="shared" si="4"/>
        <v>3.502631579</v>
      </c>
      <c r="M52" s="39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43" t="s">
        <v>83</v>
      </c>
      <c r="B53" s="17" t="s">
        <v>17</v>
      </c>
      <c r="C53" s="44" t="s">
        <v>18</v>
      </c>
      <c r="D53" s="49">
        <v>37102.0</v>
      </c>
      <c r="E53" s="45">
        <v>43.12</v>
      </c>
      <c r="F53" s="44">
        <v>24.0</v>
      </c>
      <c r="G53" s="48" t="s">
        <v>80</v>
      </c>
      <c r="H53" s="20">
        <f t="shared" ref="H53:H56" si="19">E53/F53</f>
        <v>1.796666667</v>
      </c>
      <c r="I53" s="20">
        <f t="shared" ref="I53:I56" si="20">0.1*1</f>
        <v>0.1</v>
      </c>
      <c r="J53" s="41">
        <v>0.248</v>
      </c>
      <c r="K53" s="22">
        <f t="shared" si="3"/>
        <v>2.489184397</v>
      </c>
      <c r="L53" s="20">
        <f t="shared" si="4"/>
        <v>0.5925177305</v>
      </c>
      <c r="M53" s="2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43" t="s">
        <v>84</v>
      </c>
      <c r="B54" s="17" t="s">
        <v>17</v>
      </c>
      <c r="C54" s="44" t="s">
        <v>18</v>
      </c>
      <c r="D54" s="47">
        <v>906669.0</v>
      </c>
      <c r="E54" s="45">
        <v>54.69</v>
      </c>
      <c r="F54" s="44">
        <v>24.0</v>
      </c>
      <c r="G54" s="48" t="s">
        <v>80</v>
      </c>
      <c r="H54" s="20">
        <f t="shared" si="19"/>
        <v>2.27875</v>
      </c>
      <c r="I54" s="20">
        <f t="shared" si="20"/>
        <v>0.1</v>
      </c>
      <c r="J54" s="41">
        <v>0.212</v>
      </c>
      <c r="K54" s="22">
        <f t="shared" si="3"/>
        <v>2.991814721</v>
      </c>
      <c r="L54" s="20">
        <f t="shared" si="4"/>
        <v>0.6130647208</v>
      </c>
      <c r="M54" s="2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43" t="s">
        <v>85</v>
      </c>
      <c r="B55" s="17" t="s">
        <v>17</v>
      </c>
      <c r="C55" s="44" t="s">
        <v>18</v>
      </c>
      <c r="D55" s="47">
        <v>49673.0</v>
      </c>
      <c r="E55" s="45">
        <v>61.96</v>
      </c>
      <c r="F55" s="44">
        <v>24.0</v>
      </c>
      <c r="G55" s="48" t="s">
        <v>80</v>
      </c>
      <c r="H55" s="20">
        <f t="shared" si="19"/>
        <v>2.581666667</v>
      </c>
      <c r="I55" s="20">
        <f t="shared" si="20"/>
        <v>0.1</v>
      </c>
      <c r="J55" s="41">
        <v>0.238</v>
      </c>
      <c r="K55" s="22">
        <f t="shared" si="3"/>
        <v>3.488013998</v>
      </c>
      <c r="L55" s="20">
        <f t="shared" si="4"/>
        <v>0.8063473316</v>
      </c>
      <c r="M55" s="2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43" t="s">
        <v>86</v>
      </c>
      <c r="B56" s="17" t="s">
        <v>17</v>
      </c>
      <c r="C56" s="44" t="s">
        <v>18</v>
      </c>
      <c r="D56" s="47"/>
      <c r="E56" s="45">
        <v>62.44</v>
      </c>
      <c r="F56" s="44">
        <v>24.0</v>
      </c>
      <c r="G56" s="48" t="s">
        <v>20</v>
      </c>
      <c r="H56" s="20">
        <f t="shared" si="19"/>
        <v>2.601666667</v>
      </c>
      <c r="I56" s="20">
        <f t="shared" si="20"/>
        <v>0.1</v>
      </c>
      <c r="J56" s="41">
        <v>0.255</v>
      </c>
      <c r="K56" s="22">
        <f t="shared" si="3"/>
        <v>3.592170022</v>
      </c>
      <c r="L56" s="20">
        <f t="shared" si="4"/>
        <v>0.8905033557</v>
      </c>
      <c r="M56" s="2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43" t="s">
        <v>87</v>
      </c>
      <c r="B57" s="32" t="s">
        <v>28</v>
      </c>
      <c r="C57" s="44" t="s">
        <v>18</v>
      </c>
      <c r="D57" s="49">
        <v>676841.0</v>
      </c>
      <c r="E57" s="45">
        <v>49.45</v>
      </c>
      <c r="F57" s="44">
        <v>24.0</v>
      </c>
      <c r="G57" s="36" t="s">
        <v>27</v>
      </c>
      <c r="H57" s="20">
        <f>E57/G57</f>
        <v>12.3625</v>
      </c>
      <c r="I57" s="50">
        <v>0.6</v>
      </c>
      <c r="J57" s="41">
        <v>0.2679</v>
      </c>
      <c r="K57" s="22">
        <f t="shared" si="3"/>
        <v>17.48635432</v>
      </c>
      <c r="L57" s="20">
        <f t="shared" si="4"/>
        <v>4.523854323</v>
      </c>
      <c r="M57" s="2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12" t="s">
        <v>88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4"/>
      <c r="M58" s="1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16" t="s">
        <v>89</v>
      </c>
      <c r="B59" s="17" t="s">
        <v>17</v>
      </c>
      <c r="C59" s="17" t="s">
        <v>90</v>
      </c>
      <c r="D59" s="17" t="s">
        <v>91</v>
      </c>
      <c r="E59" s="18">
        <v>66.0</v>
      </c>
      <c r="F59" s="40">
        <v>24.0</v>
      </c>
      <c r="G59" s="19" t="s">
        <v>20</v>
      </c>
      <c r="H59" s="20">
        <f t="shared" ref="H59:H72" si="21">E59/F59</f>
        <v>2.75</v>
      </c>
      <c r="I59" s="20">
        <f t="shared" ref="I59:I72" si="22">0.1*1</f>
        <v>0.1</v>
      </c>
      <c r="J59" s="21">
        <v>0.275</v>
      </c>
      <c r="K59" s="22">
        <f t="shared" ref="K59:K84" si="23">IF(J59&gt;=1,"",H59/(1-J59)+I59)</f>
        <v>3.893103448</v>
      </c>
      <c r="L59" s="20">
        <f t="shared" ref="L59:L84" si="24">IF(K59="","",K59-H59-I59)</f>
        <v>1.043103448</v>
      </c>
      <c r="M59" s="51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8.75" customHeight="1">
      <c r="A60" s="24" t="s">
        <v>92</v>
      </c>
      <c r="B60" s="25" t="s">
        <v>17</v>
      </c>
      <c r="C60" s="25" t="s">
        <v>90</v>
      </c>
      <c r="D60" s="25" t="s">
        <v>93</v>
      </c>
      <c r="E60" s="26">
        <v>64.8</v>
      </c>
      <c r="F60" s="25">
        <v>24.0</v>
      </c>
      <c r="G60" s="27" t="s">
        <v>94</v>
      </c>
      <c r="H60" s="28">
        <f t="shared" si="21"/>
        <v>2.7</v>
      </c>
      <c r="I60" s="28">
        <f t="shared" si="22"/>
        <v>0.1</v>
      </c>
      <c r="J60" s="21">
        <v>0.2035</v>
      </c>
      <c r="K60" s="29">
        <f t="shared" si="23"/>
        <v>3.489830508</v>
      </c>
      <c r="L60" s="28">
        <f t="shared" si="24"/>
        <v>0.6898305085</v>
      </c>
      <c r="M60" s="2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16" t="s">
        <v>95</v>
      </c>
      <c r="B61" s="17" t="s">
        <v>17</v>
      </c>
      <c r="C61" s="17" t="s">
        <v>90</v>
      </c>
      <c r="D61" s="17" t="s">
        <v>96</v>
      </c>
      <c r="E61" s="18">
        <v>64.8</v>
      </c>
      <c r="F61" s="17">
        <v>24.0</v>
      </c>
      <c r="G61" s="19" t="s">
        <v>20</v>
      </c>
      <c r="H61" s="20">
        <f t="shared" si="21"/>
        <v>2.7</v>
      </c>
      <c r="I61" s="20">
        <f t="shared" si="22"/>
        <v>0.1</v>
      </c>
      <c r="J61" s="21">
        <v>0.2035</v>
      </c>
      <c r="K61" s="22">
        <f t="shared" si="23"/>
        <v>3.489830508</v>
      </c>
      <c r="L61" s="20">
        <f t="shared" si="24"/>
        <v>0.6898305085</v>
      </c>
      <c r="M61" s="2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8.75" customHeight="1">
      <c r="A62" s="24" t="s">
        <v>97</v>
      </c>
      <c r="B62" s="25" t="s">
        <v>17</v>
      </c>
      <c r="C62" s="25" t="s">
        <v>90</v>
      </c>
      <c r="D62" s="25" t="s">
        <v>98</v>
      </c>
      <c r="E62" s="26">
        <v>64.8</v>
      </c>
      <c r="F62" s="25">
        <v>24.0</v>
      </c>
      <c r="G62" s="27" t="s">
        <v>94</v>
      </c>
      <c r="H62" s="28">
        <f t="shared" si="21"/>
        <v>2.7</v>
      </c>
      <c r="I62" s="28">
        <f t="shared" si="22"/>
        <v>0.1</v>
      </c>
      <c r="J62" s="21">
        <v>0.2035</v>
      </c>
      <c r="K62" s="29">
        <f t="shared" si="23"/>
        <v>3.489830508</v>
      </c>
      <c r="L62" s="28">
        <f t="shared" si="24"/>
        <v>0.6898305085</v>
      </c>
      <c r="M62" s="2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16" t="s">
        <v>99</v>
      </c>
      <c r="B63" s="17" t="s">
        <v>17</v>
      </c>
      <c r="C63" s="17" t="s">
        <v>90</v>
      </c>
      <c r="D63" s="17" t="s">
        <v>100</v>
      </c>
      <c r="E63" s="18">
        <v>62.16</v>
      </c>
      <c r="F63" s="17">
        <v>24.0</v>
      </c>
      <c r="G63" s="19" t="s">
        <v>20</v>
      </c>
      <c r="H63" s="20">
        <f t="shared" si="21"/>
        <v>2.59</v>
      </c>
      <c r="I63" s="20">
        <f t="shared" si="22"/>
        <v>0.1</v>
      </c>
      <c r="J63" s="21">
        <v>0.236</v>
      </c>
      <c r="K63" s="22">
        <f t="shared" si="23"/>
        <v>3.490052356</v>
      </c>
      <c r="L63" s="20">
        <f t="shared" si="24"/>
        <v>0.800052356</v>
      </c>
      <c r="M63" s="2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24" t="s">
        <v>101</v>
      </c>
      <c r="B64" s="25" t="s">
        <v>17</v>
      </c>
      <c r="C64" s="25" t="s">
        <v>90</v>
      </c>
      <c r="D64" s="25" t="s">
        <v>102</v>
      </c>
      <c r="E64" s="26">
        <v>62.16</v>
      </c>
      <c r="F64" s="25">
        <v>24.0</v>
      </c>
      <c r="G64" s="27" t="s">
        <v>20</v>
      </c>
      <c r="H64" s="28">
        <f t="shared" si="21"/>
        <v>2.59</v>
      </c>
      <c r="I64" s="28">
        <f t="shared" si="22"/>
        <v>0.1</v>
      </c>
      <c r="J64" s="21">
        <v>0.236</v>
      </c>
      <c r="K64" s="29">
        <f t="shared" si="23"/>
        <v>3.490052356</v>
      </c>
      <c r="L64" s="28">
        <f t="shared" si="24"/>
        <v>0.800052356</v>
      </c>
      <c r="M64" s="2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16" t="s">
        <v>103</v>
      </c>
      <c r="B65" s="17" t="s">
        <v>17</v>
      </c>
      <c r="C65" s="17" t="s">
        <v>90</v>
      </c>
      <c r="D65" s="17" t="s">
        <v>104</v>
      </c>
      <c r="E65" s="18">
        <v>60.24</v>
      </c>
      <c r="F65" s="17">
        <v>24.0</v>
      </c>
      <c r="G65" s="19" t="s">
        <v>20</v>
      </c>
      <c r="H65" s="20">
        <f t="shared" si="21"/>
        <v>2.51</v>
      </c>
      <c r="I65" s="20">
        <f t="shared" si="22"/>
        <v>0.1</v>
      </c>
      <c r="J65" s="21">
        <v>0.2596</v>
      </c>
      <c r="K65" s="22">
        <f t="shared" si="23"/>
        <v>3.490059427</v>
      </c>
      <c r="L65" s="20">
        <f t="shared" si="24"/>
        <v>0.8800594273</v>
      </c>
      <c r="M65" s="2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42" t="s">
        <v>105</v>
      </c>
      <c r="B66" s="17" t="s">
        <v>17</v>
      </c>
      <c r="C66" s="17" t="s">
        <v>90</v>
      </c>
      <c r="D66" s="52">
        <v>42281.0</v>
      </c>
      <c r="E66" s="18">
        <v>60.24</v>
      </c>
      <c r="F66" s="17">
        <v>24.0</v>
      </c>
      <c r="G66" s="19" t="s">
        <v>20</v>
      </c>
      <c r="H66" s="20">
        <f t="shared" si="21"/>
        <v>2.51</v>
      </c>
      <c r="I66" s="20">
        <f t="shared" si="22"/>
        <v>0.1</v>
      </c>
      <c r="J66" s="21">
        <v>0.2596</v>
      </c>
      <c r="K66" s="22">
        <f t="shared" si="23"/>
        <v>3.490059427</v>
      </c>
      <c r="L66" s="20">
        <f t="shared" si="24"/>
        <v>0.8800594273</v>
      </c>
      <c r="M66" s="2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42" t="s">
        <v>106</v>
      </c>
      <c r="B67" s="17" t="s">
        <v>17</v>
      </c>
      <c r="C67" s="17" t="s">
        <v>90</v>
      </c>
      <c r="D67" s="52">
        <v>48806.0</v>
      </c>
      <c r="E67" s="18">
        <v>60.24</v>
      </c>
      <c r="F67" s="17">
        <v>24.0</v>
      </c>
      <c r="G67" s="19" t="s">
        <v>20</v>
      </c>
      <c r="H67" s="20">
        <f t="shared" si="21"/>
        <v>2.51</v>
      </c>
      <c r="I67" s="20">
        <f t="shared" si="22"/>
        <v>0.1</v>
      </c>
      <c r="J67" s="21">
        <v>0.2596</v>
      </c>
      <c r="K67" s="22">
        <f t="shared" si="23"/>
        <v>3.490059427</v>
      </c>
      <c r="L67" s="20">
        <f t="shared" si="24"/>
        <v>0.8800594273</v>
      </c>
      <c r="M67" s="2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24" t="s">
        <v>107</v>
      </c>
      <c r="B68" s="25" t="s">
        <v>17</v>
      </c>
      <c r="C68" s="25" t="s">
        <v>90</v>
      </c>
      <c r="D68" s="25" t="s">
        <v>108</v>
      </c>
      <c r="E68" s="26">
        <v>60.0</v>
      </c>
      <c r="F68" s="25">
        <v>24.0</v>
      </c>
      <c r="G68" s="27" t="s">
        <v>20</v>
      </c>
      <c r="H68" s="28">
        <f t="shared" si="21"/>
        <v>2.5</v>
      </c>
      <c r="I68" s="28">
        <f t="shared" si="22"/>
        <v>0.1</v>
      </c>
      <c r="J68" s="21">
        <v>0.2625</v>
      </c>
      <c r="K68" s="29">
        <f t="shared" si="23"/>
        <v>3.489830508</v>
      </c>
      <c r="L68" s="28">
        <f t="shared" si="24"/>
        <v>0.8898305085</v>
      </c>
      <c r="M68" s="2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3" t="s">
        <v>109</v>
      </c>
      <c r="B69" s="54" t="s">
        <v>17</v>
      </c>
      <c r="C69" s="54" t="s">
        <v>90</v>
      </c>
      <c r="D69" s="54" t="s">
        <v>110</v>
      </c>
      <c r="E69" s="18">
        <v>60.0</v>
      </c>
      <c r="F69" s="54">
        <v>24.0</v>
      </c>
      <c r="G69" s="19" t="s">
        <v>94</v>
      </c>
      <c r="H69" s="20">
        <f t="shared" si="21"/>
        <v>2.5</v>
      </c>
      <c r="I69" s="20">
        <f t="shared" si="22"/>
        <v>0.1</v>
      </c>
      <c r="J69" s="21">
        <v>0.2625</v>
      </c>
      <c r="K69" s="22">
        <f t="shared" si="23"/>
        <v>3.489830508</v>
      </c>
      <c r="L69" s="20">
        <f t="shared" si="24"/>
        <v>0.8898305085</v>
      </c>
      <c r="M69" s="2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24" t="s">
        <v>111</v>
      </c>
      <c r="B70" s="25" t="s">
        <v>17</v>
      </c>
      <c r="C70" s="25" t="s">
        <v>90</v>
      </c>
      <c r="D70" s="25" t="s">
        <v>112</v>
      </c>
      <c r="E70" s="26">
        <v>60.0</v>
      </c>
      <c r="F70" s="25">
        <v>24.0</v>
      </c>
      <c r="G70" s="27" t="s">
        <v>94</v>
      </c>
      <c r="H70" s="28">
        <f t="shared" si="21"/>
        <v>2.5</v>
      </c>
      <c r="I70" s="28">
        <f t="shared" si="22"/>
        <v>0.1</v>
      </c>
      <c r="J70" s="21">
        <v>0.2625</v>
      </c>
      <c r="K70" s="29">
        <f t="shared" si="23"/>
        <v>3.489830508</v>
      </c>
      <c r="L70" s="28">
        <f t="shared" si="24"/>
        <v>0.8898305085</v>
      </c>
      <c r="M70" s="2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3" t="s">
        <v>113</v>
      </c>
      <c r="B71" s="54" t="s">
        <v>17</v>
      </c>
      <c r="C71" s="54" t="s">
        <v>90</v>
      </c>
      <c r="D71" s="54" t="s">
        <v>114</v>
      </c>
      <c r="E71" s="18">
        <v>56.4</v>
      </c>
      <c r="F71" s="54">
        <v>24.0</v>
      </c>
      <c r="G71" s="19" t="s">
        <v>94</v>
      </c>
      <c r="H71" s="20">
        <f t="shared" si="21"/>
        <v>2.35</v>
      </c>
      <c r="I71" s="20">
        <f t="shared" si="22"/>
        <v>0.1</v>
      </c>
      <c r="J71" s="21">
        <v>0.286</v>
      </c>
      <c r="K71" s="22">
        <f t="shared" si="23"/>
        <v>3.391316527</v>
      </c>
      <c r="L71" s="20">
        <f t="shared" si="24"/>
        <v>0.9413165266</v>
      </c>
      <c r="M71" s="2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24" t="s">
        <v>115</v>
      </c>
      <c r="B72" s="55" t="s">
        <v>17</v>
      </c>
      <c r="C72" s="55" t="s">
        <v>90</v>
      </c>
      <c r="D72" s="55" t="s">
        <v>116</v>
      </c>
      <c r="E72" s="26">
        <v>55.2</v>
      </c>
      <c r="F72" s="55">
        <v>24.0</v>
      </c>
      <c r="G72" s="27" t="s">
        <v>94</v>
      </c>
      <c r="H72" s="28">
        <f t="shared" si="21"/>
        <v>2.3</v>
      </c>
      <c r="I72" s="28">
        <f t="shared" si="22"/>
        <v>0.1</v>
      </c>
      <c r="J72" s="21">
        <v>0.255</v>
      </c>
      <c r="K72" s="29">
        <f t="shared" si="23"/>
        <v>3.187248322</v>
      </c>
      <c r="L72" s="28">
        <f t="shared" si="24"/>
        <v>0.7872483221</v>
      </c>
      <c r="M72" s="2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31" t="s">
        <v>117</v>
      </c>
      <c r="B73" s="32" t="s">
        <v>78</v>
      </c>
      <c r="C73" s="33" t="s">
        <v>90</v>
      </c>
      <c r="D73" s="33" t="s">
        <v>118</v>
      </c>
      <c r="E73" s="34">
        <v>53.34</v>
      </c>
      <c r="F73" s="33">
        <v>24.0</v>
      </c>
      <c r="G73" s="36" t="s">
        <v>119</v>
      </c>
      <c r="H73" s="37">
        <f>E73/G73</f>
        <v>8.89</v>
      </c>
      <c r="I73" s="37">
        <f>0.1*4</f>
        <v>0.4</v>
      </c>
      <c r="J73" s="21">
        <v>0.233</v>
      </c>
      <c r="K73" s="38">
        <f t="shared" si="23"/>
        <v>11.99061278</v>
      </c>
      <c r="L73" s="37">
        <f t="shared" si="24"/>
        <v>2.700612777</v>
      </c>
      <c r="M73" s="2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24" t="s">
        <v>120</v>
      </c>
      <c r="B74" s="25" t="s">
        <v>17</v>
      </c>
      <c r="C74" s="25" t="s">
        <v>90</v>
      </c>
      <c r="D74" s="25" t="s">
        <v>121</v>
      </c>
      <c r="E74" s="26">
        <v>52.8</v>
      </c>
      <c r="F74" s="25">
        <v>24.0</v>
      </c>
      <c r="G74" s="27" t="s">
        <v>94</v>
      </c>
      <c r="H74" s="28">
        <f t="shared" ref="H74:H76" si="25">E74/F74</f>
        <v>2.2</v>
      </c>
      <c r="I74" s="28">
        <f t="shared" ref="I74:I76" si="26">0.1*1</f>
        <v>0.1</v>
      </c>
      <c r="J74" s="21">
        <v>0.2388</v>
      </c>
      <c r="K74" s="29">
        <f t="shared" si="23"/>
        <v>2.99017341</v>
      </c>
      <c r="L74" s="28">
        <f t="shared" si="24"/>
        <v>0.6901734104</v>
      </c>
      <c r="M74" s="5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3" t="s">
        <v>122</v>
      </c>
      <c r="B75" s="54" t="s">
        <v>17</v>
      </c>
      <c r="C75" s="54" t="s">
        <v>90</v>
      </c>
      <c r="D75" s="54" t="s">
        <v>123</v>
      </c>
      <c r="E75" s="18">
        <v>52.56</v>
      </c>
      <c r="F75" s="54">
        <v>24.0</v>
      </c>
      <c r="G75" s="19" t="s">
        <v>94</v>
      </c>
      <c r="H75" s="20">
        <f t="shared" si="25"/>
        <v>2.19</v>
      </c>
      <c r="I75" s="20">
        <f t="shared" si="26"/>
        <v>0.1</v>
      </c>
      <c r="J75" s="21">
        <v>0.354</v>
      </c>
      <c r="K75" s="22">
        <f t="shared" si="23"/>
        <v>3.490092879</v>
      </c>
      <c r="L75" s="20">
        <f t="shared" si="24"/>
        <v>1.200092879</v>
      </c>
      <c r="M75" s="2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24" t="s">
        <v>124</v>
      </c>
      <c r="B76" s="25" t="s">
        <v>17</v>
      </c>
      <c r="C76" s="25" t="s">
        <v>90</v>
      </c>
      <c r="D76" s="25" t="s">
        <v>125</v>
      </c>
      <c r="E76" s="26">
        <v>51.12</v>
      </c>
      <c r="F76" s="25">
        <v>24.0</v>
      </c>
      <c r="G76" s="27" t="s">
        <v>94</v>
      </c>
      <c r="H76" s="28">
        <f t="shared" si="25"/>
        <v>2.13</v>
      </c>
      <c r="I76" s="28">
        <f t="shared" si="26"/>
        <v>0.1</v>
      </c>
      <c r="J76" s="21">
        <v>0.263</v>
      </c>
      <c r="K76" s="29">
        <f t="shared" si="23"/>
        <v>2.99009498</v>
      </c>
      <c r="L76" s="28">
        <f t="shared" si="24"/>
        <v>0.7600949796</v>
      </c>
      <c r="M76" s="2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31" t="s">
        <v>126</v>
      </c>
      <c r="B77" s="32" t="s">
        <v>78</v>
      </c>
      <c r="C77" s="33" t="s">
        <v>90</v>
      </c>
      <c r="D77" s="33" t="s">
        <v>127</v>
      </c>
      <c r="E77" s="34">
        <v>23.28</v>
      </c>
      <c r="F77" s="33">
        <v>24.0</v>
      </c>
      <c r="G77" s="36" t="s">
        <v>119</v>
      </c>
      <c r="H77" s="37">
        <f>E77/G77</f>
        <v>3.88</v>
      </c>
      <c r="I77" s="37">
        <f>0.1*4</f>
        <v>0.4</v>
      </c>
      <c r="J77" s="21">
        <v>0.2377</v>
      </c>
      <c r="K77" s="38">
        <f t="shared" si="23"/>
        <v>5.489859635</v>
      </c>
      <c r="L77" s="37">
        <f t="shared" si="24"/>
        <v>1.209859635</v>
      </c>
      <c r="M77" s="39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43" t="s">
        <v>128</v>
      </c>
      <c r="B78" s="17" t="s">
        <v>17</v>
      </c>
      <c r="C78" s="17" t="s">
        <v>90</v>
      </c>
      <c r="D78" s="44">
        <v>48833.0</v>
      </c>
      <c r="E78" s="45">
        <v>60.04</v>
      </c>
      <c r="F78" s="44">
        <v>24.0</v>
      </c>
      <c r="G78" s="48" t="s">
        <v>119</v>
      </c>
      <c r="H78" s="28">
        <f t="shared" ref="H78:H84" si="27">E78/F78</f>
        <v>2.501666667</v>
      </c>
      <c r="I78" s="28">
        <f t="shared" ref="I78:I82" si="28">0.1*1</f>
        <v>0.1</v>
      </c>
      <c r="J78" s="21">
        <v>0.263</v>
      </c>
      <c r="K78" s="29">
        <f t="shared" si="23"/>
        <v>3.494391678</v>
      </c>
      <c r="L78" s="28">
        <f t="shared" si="24"/>
        <v>0.8927250113</v>
      </c>
      <c r="M78" s="2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43" t="s">
        <v>129</v>
      </c>
      <c r="B79" s="17" t="s">
        <v>17</v>
      </c>
      <c r="C79" s="17" t="s">
        <v>90</v>
      </c>
      <c r="D79" s="44">
        <v>77933.0</v>
      </c>
      <c r="E79" s="45">
        <v>50.12</v>
      </c>
      <c r="F79" s="44">
        <v>24.0</v>
      </c>
      <c r="G79" s="48" t="s">
        <v>119</v>
      </c>
      <c r="H79" s="28">
        <f t="shared" si="27"/>
        <v>2.088333333</v>
      </c>
      <c r="I79" s="28">
        <f t="shared" si="28"/>
        <v>0.1</v>
      </c>
      <c r="J79" s="21">
        <v>0.278</v>
      </c>
      <c r="K79" s="29">
        <f t="shared" si="23"/>
        <v>2.99242844</v>
      </c>
      <c r="L79" s="28">
        <f t="shared" si="24"/>
        <v>0.8040951062</v>
      </c>
      <c r="M79" s="2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43" t="s">
        <v>130</v>
      </c>
      <c r="B80" s="52" t="s">
        <v>17</v>
      </c>
      <c r="C80" s="52" t="s">
        <v>90</v>
      </c>
      <c r="D80" s="44">
        <v>19303.0</v>
      </c>
      <c r="E80" s="45">
        <v>59.84</v>
      </c>
      <c r="F80" s="44">
        <v>24.0</v>
      </c>
      <c r="G80" s="48" t="s">
        <v>119</v>
      </c>
      <c r="H80" s="28">
        <f t="shared" si="27"/>
        <v>2.493333333</v>
      </c>
      <c r="I80" s="28">
        <f t="shared" si="28"/>
        <v>0.1</v>
      </c>
      <c r="J80" s="21">
        <v>0.264</v>
      </c>
      <c r="K80" s="29">
        <f t="shared" si="23"/>
        <v>3.487681159</v>
      </c>
      <c r="L80" s="28">
        <f t="shared" si="24"/>
        <v>0.8943478261</v>
      </c>
      <c r="M80" s="2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43" t="s">
        <v>131</v>
      </c>
      <c r="B81" s="52" t="s">
        <v>17</v>
      </c>
      <c r="C81" s="52" t="s">
        <v>90</v>
      </c>
      <c r="D81" s="44">
        <v>42273.0</v>
      </c>
      <c r="E81" s="45">
        <v>62.82</v>
      </c>
      <c r="F81" s="44">
        <v>24.0</v>
      </c>
      <c r="G81" s="48" t="s">
        <v>119</v>
      </c>
      <c r="H81" s="28">
        <f t="shared" si="27"/>
        <v>2.6175</v>
      </c>
      <c r="I81" s="28">
        <f t="shared" si="28"/>
        <v>0.1</v>
      </c>
      <c r="J81" s="21">
        <v>0.25</v>
      </c>
      <c r="K81" s="29">
        <f t="shared" si="23"/>
        <v>3.59</v>
      </c>
      <c r="L81" s="28">
        <f t="shared" si="24"/>
        <v>0.8725</v>
      </c>
      <c r="M81" s="23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43" t="s">
        <v>132</v>
      </c>
      <c r="B82" s="52" t="s">
        <v>17</v>
      </c>
      <c r="C82" s="52" t="s">
        <v>90</v>
      </c>
      <c r="D82" s="44">
        <v>25664.0</v>
      </c>
      <c r="E82" s="45">
        <v>74.3</v>
      </c>
      <c r="F82" s="44">
        <v>24.0</v>
      </c>
      <c r="G82" s="48" t="s">
        <v>119</v>
      </c>
      <c r="H82" s="28">
        <f t="shared" si="27"/>
        <v>3.095833333</v>
      </c>
      <c r="I82" s="28">
        <f t="shared" si="28"/>
        <v>0.1</v>
      </c>
      <c r="J82" s="21">
        <v>0.205</v>
      </c>
      <c r="K82" s="29">
        <f t="shared" si="23"/>
        <v>3.994129979</v>
      </c>
      <c r="L82" s="28">
        <f t="shared" si="24"/>
        <v>0.7982966457</v>
      </c>
      <c r="M82" s="23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43" t="s">
        <v>133</v>
      </c>
      <c r="B83" s="52" t="s">
        <v>17</v>
      </c>
      <c r="C83" s="52" t="s">
        <v>90</v>
      </c>
      <c r="D83" s="44">
        <v>42500.0</v>
      </c>
      <c r="E83" s="45">
        <v>64.6</v>
      </c>
      <c r="F83" s="44">
        <v>24.0</v>
      </c>
      <c r="G83" s="48" t="s">
        <v>119</v>
      </c>
      <c r="H83" s="28">
        <f t="shared" si="27"/>
        <v>2.691666667</v>
      </c>
      <c r="I83" s="28">
        <v>0.1</v>
      </c>
      <c r="J83" s="21">
        <v>0.27</v>
      </c>
      <c r="K83" s="29">
        <f t="shared" si="23"/>
        <v>3.787214612</v>
      </c>
      <c r="L83" s="28">
        <f t="shared" si="24"/>
        <v>0.9955479452</v>
      </c>
      <c r="M83" s="2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43" t="s">
        <v>134</v>
      </c>
      <c r="B84" s="52" t="s">
        <v>17</v>
      </c>
      <c r="C84" s="52" t="s">
        <v>90</v>
      </c>
      <c r="D84" s="44">
        <v>31288.0</v>
      </c>
      <c r="E84" s="45">
        <v>59.3</v>
      </c>
      <c r="F84" s="44">
        <v>24.0</v>
      </c>
      <c r="G84" s="48" t="s">
        <v>119</v>
      </c>
      <c r="H84" s="28">
        <f t="shared" si="27"/>
        <v>2.470833333</v>
      </c>
      <c r="I84" s="28">
        <v>0.1</v>
      </c>
      <c r="J84" s="21">
        <v>0.33</v>
      </c>
      <c r="K84" s="29">
        <f t="shared" si="23"/>
        <v>3.787810945</v>
      </c>
      <c r="L84" s="28">
        <f t="shared" si="24"/>
        <v>1.216977612</v>
      </c>
      <c r="M84" s="23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31"/>
      <c r="B85" s="32"/>
      <c r="C85" s="33"/>
      <c r="D85" s="33"/>
      <c r="E85" s="34"/>
      <c r="F85" s="33"/>
      <c r="G85" s="36"/>
      <c r="H85" s="37"/>
      <c r="I85" s="37"/>
      <c r="J85" s="21"/>
      <c r="K85" s="38"/>
      <c r="L85" s="37"/>
      <c r="M85" s="57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12" t="s">
        <v>135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4"/>
      <c r="M86" s="1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3" t="s">
        <v>136</v>
      </c>
      <c r="B87" s="54" t="s">
        <v>17</v>
      </c>
      <c r="C87" s="54" t="s">
        <v>137</v>
      </c>
      <c r="D87" s="54" t="s">
        <v>138</v>
      </c>
      <c r="E87" s="18">
        <v>64.08</v>
      </c>
      <c r="F87" s="54">
        <v>24.0</v>
      </c>
      <c r="G87" s="19" t="s">
        <v>94</v>
      </c>
      <c r="H87" s="20">
        <f>E87/F87</f>
        <v>2.67</v>
      </c>
      <c r="I87" s="20">
        <f>0.1*1</f>
        <v>0.1</v>
      </c>
      <c r="J87" s="21">
        <v>0.2124</v>
      </c>
      <c r="K87" s="22">
        <f>IF(J87&gt;=1,"",H87/(1-J87)+I87)</f>
        <v>3.490045708</v>
      </c>
      <c r="L87" s="20">
        <f>IF(K87="","",K87-H87-I87)</f>
        <v>0.7200457085</v>
      </c>
      <c r="M87" s="23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8" t="s">
        <v>139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4"/>
      <c r="M88" s="59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3" t="s">
        <v>140</v>
      </c>
      <c r="B89" s="54" t="s">
        <v>17</v>
      </c>
      <c r="C89" s="54" t="s">
        <v>141</v>
      </c>
      <c r="D89" s="54" t="s">
        <v>142</v>
      </c>
      <c r="E89" s="18">
        <v>125.16</v>
      </c>
      <c r="F89" s="54">
        <v>12.0</v>
      </c>
      <c r="G89" s="19" t="s">
        <v>143</v>
      </c>
      <c r="H89" s="20">
        <f t="shared" ref="H89:H92" si="29">E89/F89</f>
        <v>10.43</v>
      </c>
      <c r="I89" s="20">
        <f t="shared" ref="I89:I92" si="30">0.2*1</f>
        <v>0.2</v>
      </c>
      <c r="J89" s="21">
        <v>0.2437</v>
      </c>
      <c r="K89" s="22">
        <f t="shared" ref="K89:K92" si="31">IF(J89&gt;=1,"",H89/(1-J89)+I89)</f>
        <v>13.99082375</v>
      </c>
      <c r="L89" s="20">
        <f t="shared" ref="L89:L92" si="32">IF(K89="","",K89-H89-I89)</f>
        <v>3.360823747</v>
      </c>
      <c r="M89" s="51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60" t="s">
        <v>144</v>
      </c>
      <c r="B90" s="55" t="s">
        <v>17</v>
      </c>
      <c r="C90" s="55" t="s">
        <v>141</v>
      </c>
      <c r="D90" s="55" t="s">
        <v>145</v>
      </c>
      <c r="E90" s="26">
        <v>125.16</v>
      </c>
      <c r="F90" s="55">
        <v>12.0</v>
      </c>
      <c r="G90" s="27" t="s">
        <v>143</v>
      </c>
      <c r="H90" s="28">
        <f t="shared" si="29"/>
        <v>10.43</v>
      </c>
      <c r="I90" s="28">
        <f t="shared" si="30"/>
        <v>0.2</v>
      </c>
      <c r="J90" s="21">
        <v>0.2437</v>
      </c>
      <c r="K90" s="29">
        <f t="shared" si="31"/>
        <v>13.99082375</v>
      </c>
      <c r="L90" s="28">
        <f t="shared" si="32"/>
        <v>3.360823747</v>
      </c>
      <c r="M90" s="61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3" t="s">
        <v>146</v>
      </c>
      <c r="B91" s="54" t="s">
        <v>17</v>
      </c>
      <c r="C91" s="54" t="s">
        <v>141</v>
      </c>
      <c r="D91" s="54" t="s">
        <v>147</v>
      </c>
      <c r="E91" s="18">
        <v>120.0</v>
      </c>
      <c r="F91" s="54">
        <v>12.0</v>
      </c>
      <c r="G91" s="19" t="s">
        <v>143</v>
      </c>
      <c r="H91" s="20">
        <f t="shared" si="29"/>
        <v>10</v>
      </c>
      <c r="I91" s="20">
        <f t="shared" si="30"/>
        <v>0.2</v>
      </c>
      <c r="J91" s="21">
        <v>0.2476</v>
      </c>
      <c r="K91" s="22">
        <f t="shared" si="31"/>
        <v>13.49080276</v>
      </c>
      <c r="L91" s="20">
        <f t="shared" si="32"/>
        <v>3.290802764</v>
      </c>
      <c r="M91" s="51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60" t="s">
        <v>148</v>
      </c>
      <c r="B92" s="55" t="s">
        <v>17</v>
      </c>
      <c r="C92" s="55" t="s">
        <v>141</v>
      </c>
      <c r="D92" s="55" t="s">
        <v>149</v>
      </c>
      <c r="E92" s="26">
        <v>109.56</v>
      </c>
      <c r="F92" s="55">
        <v>12.0</v>
      </c>
      <c r="G92" s="27" t="s">
        <v>143</v>
      </c>
      <c r="H92" s="28">
        <f t="shared" si="29"/>
        <v>9.13</v>
      </c>
      <c r="I92" s="28">
        <f t="shared" si="30"/>
        <v>0.2</v>
      </c>
      <c r="J92" s="21">
        <v>0.2256</v>
      </c>
      <c r="K92" s="29">
        <f t="shared" si="31"/>
        <v>11.98977273</v>
      </c>
      <c r="L92" s="28">
        <f t="shared" si="32"/>
        <v>2.659772727</v>
      </c>
      <c r="M92" s="61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62" t="s">
        <v>150</v>
      </c>
      <c r="B94" s="13"/>
      <c r="C94" s="13"/>
      <c r="D94" s="13"/>
      <c r="E94" s="13"/>
      <c r="F94" s="13"/>
      <c r="G94" s="13"/>
      <c r="H94" s="13"/>
      <c r="I94" s="14"/>
      <c r="J94" s="63">
        <f>AVERAGE(J6:J92)</f>
        <v>0.241850997</v>
      </c>
      <c r="K94" s="64"/>
      <c r="L94" s="64"/>
      <c r="M94" s="6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66" t="s">
        <v>151</v>
      </c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67" t="s">
        <v>152</v>
      </c>
      <c r="B97" s="68" t="s">
        <v>153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69" t="s">
        <v>154</v>
      </c>
      <c r="B98" s="68" t="s">
        <v>155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70" t="s">
        <v>156</v>
      </c>
      <c r="B99" s="68" t="s">
        <v>157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71" t="s">
        <v>158</v>
      </c>
      <c r="B100" s="68" t="s">
        <v>159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72" t="s">
        <v>160</v>
      </c>
      <c r="M102" s="72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72" t="s">
        <v>161</v>
      </c>
      <c r="M103" s="72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72" t="s">
        <v>162</v>
      </c>
      <c r="M104" s="72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72" t="s">
        <v>163</v>
      </c>
      <c r="M105" s="72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72" t="s">
        <v>164</v>
      </c>
      <c r="M106" s="72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7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7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7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7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7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7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7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7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7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7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7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7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7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7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7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7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7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7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7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7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7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7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7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7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7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7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7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7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7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7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7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7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7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7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7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7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7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7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7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7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7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7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7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7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7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7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7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7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7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7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7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7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7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7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7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7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7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7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7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7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7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7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7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7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7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7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7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7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7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7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7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7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7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7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7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7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7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7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7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7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7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7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7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7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7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7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7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7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7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7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7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7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7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7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7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7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7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7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7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7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7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7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7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7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7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7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7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7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7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7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7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7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7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7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7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7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7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7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7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7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7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7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7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7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7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7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7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7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7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7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7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7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7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7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7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7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7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7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7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7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7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7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7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7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7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7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7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7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7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7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7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7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7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7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7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7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7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7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7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7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7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7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7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7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7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7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7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7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7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7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7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7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7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7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7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7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7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7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7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7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7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7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7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7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7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7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7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7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7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7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7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7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7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7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7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7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7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7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7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7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7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7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7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7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7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7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7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7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7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7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7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7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7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7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7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7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7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7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7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7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7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7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7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7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7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7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7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7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7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7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7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7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7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7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7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7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7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7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7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7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7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7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7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7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7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7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7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7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7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7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7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7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7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7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7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7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7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7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7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7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7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7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7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7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7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7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7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7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7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7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7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7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7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7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7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7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7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7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7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7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7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7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7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7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7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7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7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7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7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7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7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7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7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7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7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7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7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7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7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7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7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7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7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7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7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7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7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7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7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7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7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7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7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7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7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7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7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7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7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7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7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7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7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7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7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7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7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7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7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7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7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7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7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7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7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7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7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7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7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7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7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7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7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7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7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7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7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7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7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7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7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7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7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7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7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7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7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7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7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7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7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7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7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7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7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7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7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7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7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7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7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7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7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7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7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7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7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7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7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7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7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7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7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7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7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7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7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7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7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7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7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7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7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7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7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7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7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7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7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7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7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7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7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7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7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7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7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7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7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7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7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7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7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7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7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7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7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7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7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7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7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7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7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7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7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7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7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7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7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7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7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7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7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7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7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7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7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7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7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7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7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7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7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7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7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7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7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7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7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7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7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7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7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7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7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7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7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7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7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7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7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7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7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7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7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7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7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7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7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7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7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7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7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7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7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7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7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7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7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7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7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7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7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7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7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7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7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7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7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7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7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7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7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7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7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7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7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7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7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7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15.75" customHeight="1">
      <c r="A1001" s="5"/>
      <c r="B1001" s="5"/>
      <c r="C1001" s="5"/>
      <c r="D1001" s="5"/>
      <c r="E1001" s="5"/>
      <c r="F1001" s="5"/>
      <c r="G1001" s="7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ht="15.75" customHeight="1">
      <c r="A1002" s="5"/>
      <c r="B1002" s="5"/>
      <c r="C1002" s="5"/>
      <c r="D1002" s="5"/>
      <c r="E1002" s="5"/>
      <c r="F1002" s="5"/>
      <c r="G1002" s="7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ht="15.75" customHeight="1">
      <c r="A1003" s="5"/>
      <c r="B1003" s="5"/>
      <c r="C1003" s="5"/>
      <c r="D1003" s="5"/>
      <c r="E1003" s="5"/>
      <c r="F1003" s="5"/>
      <c r="G1003" s="7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ht="15.75" customHeight="1">
      <c r="A1004" s="5"/>
      <c r="B1004" s="5"/>
      <c r="C1004" s="5"/>
      <c r="D1004" s="5"/>
      <c r="E1004" s="5"/>
      <c r="F1004" s="5"/>
      <c r="G1004" s="7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ht="15.75" customHeight="1">
      <c r="A1005" s="5"/>
      <c r="B1005" s="5"/>
      <c r="C1005" s="5"/>
      <c r="D1005" s="5"/>
      <c r="E1005" s="5"/>
      <c r="F1005" s="5"/>
      <c r="G1005" s="7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ht="15.75" customHeight="1">
      <c r="A1006" s="5"/>
      <c r="B1006" s="5"/>
      <c r="C1006" s="5"/>
      <c r="D1006" s="5"/>
      <c r="E1006" s="5"/>
      <c r="F1006" s="5"/>
      <c r="G1006" s="7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ht="15.75" customHeight="1">
      <c r="A1007" s="5"/>
      <c r="B1007" s="5"/>
      <c r="C1007" s="5"/>
      <c r="D1007" s="5"/>
      <c r="E1007" s="5"/>
      <c r="F1007" s="5"/>
      <c r="G1007" s="7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ht="15.75" customHeight="1">
      <c r="A1008" s="5"/>
      <c r="B1008" s="5"/>
      <c r="C1008" s="5"/>
      <c r="D1008" s="5"/>
      <c r="E1008" s="5"/>
      <c r="F1008" s="5"/>
      <c r="G1008" s="7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ht="15.75" customHeight="1">
      <c r="A1009" s="5"/>
      <c r="B1009" s="5"/>
      <c r="C1009" s="5"/>
      <c r="D1009" s="5"/>
      <c r="E1009" s="5"/>
      <c r="F1009" s="5"/>
      <c r="G1009" s="7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ht="15.75" customHeight="1">
      <c r="A1010" s="5"/>
      <c r="B1010" s="5"/>
      <c r="C1010" s="5"/>
      <c r="D1010" s="5"/>
      <c r="E1010" s="5"/>
      <c r="F1010" s="5"/>
      <c r="G1010" s="7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ht="15.75" customHeight="1">
      <c r="A1011" s="5"/>
      <c r="B1011" s="5"/>
      <c r="C1011" s="5"/>
      <c r="D1011" s="5"/>
      <c r="E1011" s="5"/>
      <c r="F1011" s="5"/>
      <c r="G1011" s="7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ht="15.75" customHeight="1">
      <c r="A1012" s="5"/>
      <c r="B1012" s="5"/>
      <c r="C1012" s="5"/>
      <c r="D1012" s="5"/>
      <c r="E1012" s="5"/>
      <c r="F1012" s="5"/>
      <c r="G1012" s="7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ht="15.75" customHeight="1">
      <c r="A1013" s="5"/>
      <c r="B1013" s="5"/>
      <c r="C1013" s="5"/>
      <c r="D1013" s="5"/>
      <c r="E1013" s="5"/>
      <c r="F1013" s="5"/>
      <c r="G1013" s="7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ht="15.75" customHeight="1">
      <c r="A1014" s="5"/>
      <c r="B1014" s="5"/>
      <c r="C1014" s="5"/>
      <c r="D1014" s="5"/>
      <c r="E1014" s="5"/>
      <c r="F1014" s="5"/>
      <c r="G1014" s="7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</sheetData>
  <mergeCells count="16">
    <mergeCell ref="A1:J1"/>
    <mergeCell ref="A2:J2"/>
    <mergeCell ref="A5:L5"/>
    <mergeCell ref="A58:L58"/>
    <mergeCell ref="A86:L86"/>
    <mergeCell ref="A88:L88"/>
    <mergeCell ref="A94:I94"/>
    <mergeCell ref="A105:L105"/>
    <mergeCell ref="A106:L106"/>
    <mergeCell ref="B97:G97"/>
    <mergeCell ref="B98:G98"/>
    <mergeCell ref="B99:G99"/>
    <mergeCell ref="B100:G100"/>
    <mergeCell ref="A102:L102"/>
    <mergeCell ref="A103:L103"/>
    <mergeCell ref="A104:L10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2026-06-05T01:47:50Z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